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<sst xmlns="http://schemas.openxmlformats.org/spreadsheetml/2006/main" count="23" uniqueCount="23">
  <si>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Prosjekt:</t>
  </si>
  <si>
    <t xml:space="preserve">Avlingsprognoser i fruktproduksjonen- utvikling av det digitale treet 2021-2022</t>
  </si>
  <si>
    <t xml:space="preserve">Måling av fruktdiameter (mm)</t>
  </si>
  <si>
    <t xml:space="preserve">Sort:</t>
  </si>
  <si>
    <t xml:space="preserve">Discovery</t>
  </si>
  <si>
    <t xml:space="preserve">Feltvert:</t>
  </si>
  <si>
    <t xml:space="preserve">Henning Jensen</t>
  </si>
  <si>
    <t xml:space="preserve">År:</t>
  </si>
  <si>
    <t xml:space="preserve">Startdato blomstring (ballong; 1. blomst åpen, BBCH 60):</t>
  </si>
  <si>
    <t xml:space="preserve">Dato full blomstring (50% åpne blomstrar, BBCH 65):</t>
  </si>
  <si>
    <t xml:space="preserve">Dato avslutta blomstring (80% kronbladfall, BBCH 68):</t>
  </si>
  <si>
    <t xml:space="preserve">Måling av diameter kvar veke frå kart er 10 mm i diameter og heilt fram til hausting.</t>
  </si>
  <si>
    <t xml:space="preserve">Dato/</t>
  </si>
  <si>
    <t xml:space="preserve">frukt nr.</t>
  </si>
  <si>
    <t xml:space="preserve">24.07.21</t>
  </si>
  <si>
    <t xml:space="preserve">02.08.21</t>
  </si>
  <si>
    <t xml:space="preserve">10.08.21</t>
  </si>
  <si>
    <t xml:space="preserve">20.08.21</t>
  </si>
  <si>
    <t xml:space="preserve">27.08.21</t>
  </si>
  <si>
    <t xml:space="preserve">Sum</t>
  </si>
  <si>
    <t xml:space="preserve">Gjennomsnitt</t>
  </si>
  <si>
    <t xml:space="preserve">Dato</t>
  </si>
  <si>
    <t xml:space="preserve">Diameter (mm)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</si>
</sst>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u val="singl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nb-NO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nb-NO" sz="1400" spc="-1" strike="noStrike">
                <a:solidFill>
                  <a:srgbClr val="595959"/>
                </a:solidFill>
                <a:latin typeface="Calibri"/>
              </a:rPr>
              <a:t>Utvikling av fruktdiameter (mm). 'gdsfd' 2021. Feltvert: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Ark1!$A$31</c:f>
              <c:strCache>
                <c:ptCount val="1"/>
                <c:pt idx="0">
                  <c:v>Dato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val>
            <c:numRef>
              <c:f>Ark1!$B$31:$Q$31</c:f>
              <c:numCache>
                <c:formatCode>General</c:formatCode>
                <c:ptCount val="16"/>
              </c:numCache>
            </c:numRef>
          </c:val>
          <c:smooth val="0"/>
        </c:ser>
        <c:ser>
          <c:idx val="1"/>
          <c:order val="1"/>
          <c:tx>
            <c:strRef>
              <c:f>Ark1!$A$32</c:f>
              <c:strCache>
                <c:ptCount val="1"/>
                <c:pt idx="0">
                  <c:v>Diameter (mm)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val>
            <c:numRef>
              <c:f>Ark1!$B$32:$Q$32</c:f>
              <c:numCache>
                <c:formatCode>General</c:formatCode>
                <c:ptCount val="16"/>
                <c:pt idx="0">
                  <c:v>56.395</c:v>
                </c:pt>
                <c:pt idx="1">
                  <c:v>64.144</c:v>
                </c:pt>
                <c:pt idx="2">
                  <c:v>69.874</c:v>
                </c:pt>
                <c:pt idx="3">
                  <c:v>75.74</c:v>
                </c:pt>
                <c:pt idx="4">
                  <c:v>78.055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72862025"/>
        <c:axId val="28946333"/>
      </c:lineChart>
      <c:catAx>
        <c:axId val="72862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946333"/>
        <c:crosses val="autoZero"/>
        <c:auto val="1"/>
        <c:lblAlgn val="ctr"/>
        <c:lblOffset val="100"/>
        <c:noMultiLvlLbl val="0"/>
      </c:catAx>
      <c:valAx>
        <c:axId val="289463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86202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175680</xdr:colOff>
      <xdr:row>33</xdr:row>
      <xdr:rowOff>122040</xdr:rowOff>
    </xdr:from>
    <xdr:to>
      <xdr:col>8</xdr:col>
      <xdr:colOff>784800</xdr:colOff>
      <xdr:row>48</xdr:row>
      <xdr:rowOff>121680</xdr:rowOff>
    </xdr:to>
    <xdr:graphicFrame>
      <xdr:nvGraphicFramePr>
        <xdr:cNvPr id="0" name="Diagram 2"/>
        <xdr:cNvGraphicFramePr/>
      </xdr:nvGraphicFramePr>
      <xdr:xfrm>
        <a:off x="3362400" y="6744960"/>
        <a:ext cx="5292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390625" defaultRowHeight="14.4" zeroHeight="false" outlineLevelRow="0" outlineLevelCol="0"/>
  <cols>
    <col collapsed="false" customWidth="true" hidden="false" outlineLevel="0" max="1" min="1" style="0" width="14.77"/>
  </cols>
  <sheetData>
    <row r="1" customFormat="false" ht="25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</row>
    <row r="3" customFormat="false" ht="15" hidden="false" customHeight="false" outlineLevel="0" collapsed="false"/>
    <row r="4" customFormat="false" ht="21.6" hidden="false" customHeight="false" outlineLevel="0" collapsed="false">
      <c r="A4" s="2" t="s">
        <v>2</v>
      </c>
      <c r="B4" s="3"/>
      <c r="C4" s="4"/>
    </row>
    <row r="5" customFormat="false" ht="18" hidden="false" customHeight="false" outlineLevel="0" collapsed="false">
      <c r="A5" s="5" t="s">
        <v>3</v>
      </c>
      <c r="B5" s="6" t="s">
        <v>4</v>
      </c>
      <c r="C5" s="6"/>
    </row>
    <row r="6" customFormat="false" ht="18" hidden="false" customHeight="false" outlineLevel="0" collapsed="false">
      <c r="A6" s="5" t="s">
        <v>5</v>
      </c>
      <c r="B6" s="6" t="s">
        <v>6</v>
      </c>
      <c r="C6" s="6"/>
    </row>
    <row r="7" customFormat="false" ht="18" hidden="false" customHeight="false" outlineLevel="0" collapsed="false">
      <c r="A7" s="5" t="s">
        <v>7</v>
      </c>
      <c r="B7" s="6" t="n">
        <v>2021</v>
      </c>
      <c r="C7" s="6"/>
    </row>
    <row r="9" customFormat="false" ht="18" hidden="false" customHeight="false" outlineLevel="0" collapsed="false">
      <c r="A9" s="5" t="s">
        <v>8</v>
      </c>
      <c r="B9" s="5"/>
      <c r="C9" s="5"/>
      <c r="D9" s="5"/>
      <c r="E9" s="7"/>
    </row>
    <row r="10" customFormat="false" ht="18" hidden="false" customHeight="false" outlineLevel="0" collapsed="false">
      <c r="A10" s="5" t="s">
        <v>9</v>
      </c>
      <c r="B10" s="5"/>
      <c r="C10" s="5"/>
      <c r="D10" s="5"/>
      <c r="E10" s="7"/>
    </row>
    <row r="11" customFormat="false" ht="18" hidden="false" customHeight="false" outlineLevel="0" collapsed="false">
      <c r="A11" s="5" t="s">
        <v>10</v>
      </c>
      <c r="B11" s="5"/>
      <c r="C11" s="5"/>
      <c r="D11" s="5"/>
      <c r="E11" s="7"/>
    </row>
    <row r="13" customFormat="false" ht="18" hidden="false" customHeight="false" outlineLevel="0" collapsed="false">
      <c r="A13" s="6" t="s">
        <v>11</v>
      </c>
    </row>
    <row r="15" customFormat="false" ht="14.4" hidden="false" customHeight="false" outlineLevel="0" collapsed="false">
      <c r="A15" s="0" t="s">
        <v>12</v>
      </c>
    </row>
    <row r="16" customFormat="false" ht="14.9" hidden="false" customHeight="false" outlineLevel="0" collapsed="false">
      <c r="A16" s="0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customFormat="false" ht="14.9" hidden="false" customHeight="false" outlineLevel="0" collapsed="false">
      <c r="A17" s="0" t="n">
        <v>1</v>
      </c>
      <c r="B17" s="9" t="n">
        <v>57.2</v>
      </c>
      <c r="C17" s="9" t="n">
        <v>63.77</v>
      </c>
      <c r="D17" s="9" t="n">
        <v>69.44</v>
      </c>
      <c r="E17" s="9" t="n">
        <v>74.74</v>
      </c>
      <c r="F17" s="9" t="n">
        <v>79.57</v>
      </c>
    </row>
    <row r="18" customFormat="false" ht="14.9" hidden="false" customHeight="false" outlineLevel="0" collapsed="false">
      <c r="A18" s="0" t="n">
        <v>2</v>
      </c>
      <c r="B18" s="9" t="n">
        <v>61.3</v>
      </c>
      <c r="C18" s="9" t="n">
        <v>68.17</v>
      </c>
      <c r="D18" s="9" t="n">
        <v>72.94</v>
      </c>
      <c r="E18" s="9" t="n">
        <v>78.45</v>
      </c>
      <c r="F18" s="9" t="n">
        <v>79.29</v>
      </c>
    </row>
    <row r="19" customFormat="false" ht="14.9" hidden="false" customHeight="false" outlineLevel="0" collapsed="false">
      <c r="A19" s="0" t="n">
        <v>3</v>
      </c>
      <c r="B19" s="9" t="n">
        <v>58.92</v>
      </c>
      <c r="C19" s="9" t="n">
        <v>63.08</v>
      </c>
      <c r="D19" s="9" t="n">
        <v>69.85</v>
      </c>
      <c r="E19" s="9" t="n">
        <v>79.03</v>
      </c>
      <c r="F19" s="9" t="n">
        <v>80.45</v>
      </c>
    </row>
    <row r="20" customFormat="false" ht="14.9" hidden="false" customHeight="false" outlineLevel="0" collapsed="false">
      <c r="A20" s="0" t="n">
        <v>4</v>
      </c>
      <c r="B20" s="9" t="n">
        <v>54.27</v>
      </c>
      <c r="C20" s="9" t="n">
        <v>61.64</v>
      </c>
      <c r="D20" s="9" t="n">
        <v>67.9</v>
      </c>
      <c r="E20" s="9" t="n">
        <v>73.83</v>
      </c>
      <c r="F20" s="9" t="n">
        <v>73.51</v>
      </c>
    </row>
    <row r="21" customFormat="false" ht="14.9" hidden="false" customHeight="false" outlineLevel="0" collapsed="false">
      <c r="A21" s="0" t="n">
        <v>5</v>
      </c>
      <c r="B21" s="9" t="n">
        <v>60.33</v>
      </c>
      <c r="C21" s="9" t="n">
        <v>67.51</v>
      </c>
      <c r="D21" s="9" t="n">
        <v>72.98</v>
      </c>
      <c r="E21" s="9" t="n">
        <v>81.3</v>
      </c>
      <c r="F21" s="9" t="n">
        <v>83.91</v>
      </c>
    </row>
    <row r="22" customFormat="false" ht="14.9" hidden="false" customHeight="false" outlineLevel="0" collapsed="false">
      <c r="A22" s="0" t="n">
        <v>6</v>
      </c>
      <c r="B22" s="9" t="n">
        <v>59.86</v>
      </c>
      <c r="C22" s="9" t="n">
        <v>66.85</v>
      </c>
      <c r="D22" s="9" t="n">
        <v>71.8</v>
      </c>
      <c r="E22" s="9" t="n">
        <v>77.09</v>
      </c>
      <c r="F22" s="9" t="n">
        <v>81.24</v>
      </c>
    </row>
    <row r="23" customFormat="false" ht="14.9" hidden="false" customHeight="false" outlineLevel="0" collapsed="false">
      <c r="A23" s="0" t="n">
        <v>7</v>
      </c>
      <c r="B23" s="9" t="n">
        <v>47.04</v>
      </c>
      <c r="C23" s="9" t="n">
        <v>64.2</v>
      </c>
      <c r="D23" s="9" t="n">
        <v>70.57</v>
      </c>
      <c r="E23" s="9" t="n">
        <v>76.7</v>
      </c>
      <c r="F23" s="9" t="n">
        <v>78.74</v>
      </c>
    </row>
    <row r="24" customFormat="false" ht="14.9" hidden="false" customHeight="false" outlineLevel="0" collapsed="false">
      <c r="A24" s="0" t="n">
        <v>8</v>
      </c>
      <c r="B24" s="9" t="n">
        <v>55.14</v>
      </c>
      <c r="C24" s="9" t="n">
        <v>61.29</v>
      </c>
      <c r="D24" s="9" t="n">
        <v>67.99</v>
      </c>
      <c r="E24" s="9" t="n">
        <v>71.44</v>
      </c>
      <c r="F24" s="9" t="n">
        <v>77.32</v>
      </c>
    </row>
    <row r="25" customFormat="false" ht="14.9" hidden="false" customHeight="false" outlineLevel="0" collapsed="false">
      <c r="A25" s="0" t="n">
        <v>9</v>
      </c>
      <c r="B25" s="9" t="n">
        <v>57.52</v>
      </c>
      <c r="C25" s="9" t="n">
        <v>65.61</v>
      </c>
      <c r="D25" s="9" t="n">
        <v>69.82</v>
      </c>
      <c r="E25" s="9" t="n">
        <v>74.8</v>
      </c>
      <c r="F25" s="9" t="n">
        <v>71.78</v>
      </c>
    </row>
    <row r="26" customFormat="false" ht="14.9" hidden="false" customHeight="false" outlineLevel="0" collapsed="false">
      <c r="A26" s="0" t="n">
        <v>10</v>
      </c>
      <c r="B26" s="9" t="n">
        <v>52.37</v>
      </c>
      <c r="C26" s="9" t="n">
        <v>59.32</v>
      </c>
      <c r="D26" s="9" t="n">
        <v>65.45</v>
      </c>
      <c r="E26" s="9" t="n">
        <v>70.02</v>
      </c>
      <c r="F26" s="9" t="n">
        <v>74.74</v>
      </c>
    </row>
    <row r="27" customFormat="false" ht="13.8" hidden="false" customHeight="false" outlineLevel="0" collapsed="false">
      <c r="A27" s="0" t="s">
        <v>19</v>
      </c>
      <c r="B27" s="0" t="n">
        <f aca="false">SUM(B17:B26)</f>
        <v>563.95</v>
      </c>
      <c r="C27" s="0" t="n">
        <f aca="false">SUM(C17:C26)</f>
        <v>641.44</v>
      </c>
      <c r="D27" s="0" t="n">
        <f aca="false">SUM(D17:D26)</f>
        <v>698.74</v>
      </c>
      <c r="E27" s="0" t="n">
        <f aca="false">SUM(E17:E26)</f>
        <v>757.4</v>
      </c>
      <c r="F27" s="0" t="n">
        <f aca="false">SUM(F17:F26)</f>
        <v>780.55</v>
      </c>
    </row>
    <row r="28" customFormat="false" ht="13.8" hidden="false" customHeight="false" outlineLevel="0" collapsed="false">
      <c r="A28" s="0" t="s">
        <v>20</v>
      </c>
      <c r="B28" s="0" t="n">
        <f aca="false">AVERAGE(B17:B26)</f>
        <v>56.395</v>
      </c>
      <c r="C28" s="0" t="n">
        <f aca="false">AVERAGE(C17:C26)</f>
        <v>64.144</v>
      </c>
      <c r="D28" s="0" t="n">
        <f aca="false">AVERAGE(D17:D26)</f>
        <v>69.874</v>
      </c>
      <c r="E28" s="0" t="n">
        <f aca="false">AVERAGE(E17:E26)</f>
        <v>75.74</v>
      </c>
      <c r="F28" s="0" t="n">
        <f aca="false">AVERAGE(F17:F26)</f>
        <v>78.055</v>
      </c>
    </row>
    <row r="31" customFormat="false" ht="13.8" hidden="false" customHeight="false" outlineLevel="0" collapsed="false">
      <c r="A31" s="0" t="s">
        <v>21</v>
      </c>
      <c r="B31" s="0" t="str">
        <f aca="false">B16</f>
        <v>24.07.21</v>
      </c>
      <c r="C31" s="0" t="str">
        <f aca="false">C16</f>
        <v>02.08.21</v>
      </c>
      <c r="D31" s="0" t="str">
        <f aca="false">D16</f>
        <v>10.08.21</v>
      </c>
      <c r="E31" s="0" t="str">
        <f aca="false">E16</f>
        <v>20.08.21</v>
      </c>
      <c r="F31" s="0" t="str">
        <f aca="false">F16</f>
        <v>27.08.21</v>
      </c>
    </row>
    <row r="32" customFormat="false" ht="13.8" hidden="false" customHeight="false" outlineLevel="0" collapsed="false">
      <c r="A32" s="0" t="s">
        <v>22</v>
      </c>
      <c r="B32" s="0" t="n">
        <f aca="false">B28</f>
        <v>56.395</v>
      </c>
      <c r="C32" s="0" t="n">
        <f aca="false">C28</f>
        <v>64.144</v>
      </c>
      <c r="D32" s="0" t="n">
        <f aca="false">D28</f>
        <v>69.874</v>
      </c>
      <c r="E32" s="0" t="n">
        <f aca="false">E28</f>
        <v>75.74</v>
      </c>
      <c r="F32" s="0" t="n">
        <f aca="false">F28</f>
        <v>78.055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2021-05-04T06:49:38Z</dcterms:created>
  <dc:creator>Jan Husefest Meland</dc:creator>
  <dc:description/>
  <dc:language>en-US</dc:language>
  <cp:lastModifiedBy/>
  <dcterms:modified xsi:type="dcterms:W3CDTF">2021-08-27T16:02:02Z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