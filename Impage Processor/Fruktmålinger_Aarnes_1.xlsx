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Jame\Prosjekt\2020\Avlingsprognosar i fruktproduksjonen- bruk av sensorteknologi\"/>
    </mc:Choice>
  </mc:AlternateContent>
  <xr:revisionPtr revIDLastSave="0" documentId="13_ncr:1_{F76FB333-FAB3-42E4-AA80-EE8E1F88720E}" xr6:coauthVersionLast="36" xr6:coauthVersionMax="36" xr10:uidLastSave="{00000000-0000-0000-0000-000000000000}"/>
  <bookViews>
    <workbookView xWindow="480" yWindow="12" windowWidth="10380" windowHeight="7056" xr2:uid="{00000000-000D-0000-FFFF-FFFF00000000}"/>
  </bookViews>
  <sheets>
    <sheet name="NN" sheetId="2" r:id="rId1"/>
  </sheets>
  <externalReferences>
    <externalReference r:id="rId2"/>
  </externalReferences>
  <calcPr calcId="191029" iterateDelta="1E-4"/>
</workbook>
</file>

<file path=xl/calcChain.xml><?xml version="1.0" encoding="utf-8"?>
<calcChain xmlns="http://schemas.openxmlformats.org/spreadsheetml/2006/main">
  <c r="C43" i="2" l="1"/>
  <c r="C48" i="2" l="1"/>
  <c r="B36" i="2" l="1"/>
  <c r="L36" i="2" l="1"/>
  <c r="C50" i="2" s="1"/>
  <c r="C36" i="2"/>
  <c r="D36" i="2" s="1"/>
  <c r="C44" i="2" s="1"/>
  <c r="K36" i="2" l="1"/>
  <c r="C49" i="2" s="1"/>
  <c r="I36" i="2"/>
  <c r="J35" i="2"/>
  <c r="H36" i="2"/>
  <c r="F36" i="2"/>
  <c r="C46" i="2" s="1"/>
  <c r="E36" i="2"/>
  <c r="C45" i="2" s="1"/>
  <c r="M36" i="2" l="1"/>
  <c r="C51" i="2" s="1"/>
  <c r="N36" i="2"/>
  <c r="C52" i="2" s="1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20" i="2"/>
  <c r="J36" i="2" s="1"/>
  <c r="D14" i="2" l="1"/>
  <c r="D13" i="2"/>
  <c r="D30" i="2"/>
  <c r="G30" i="2" s="1"/>
  <c r="D31" i="2"/>
  <c r="G31" i="2" s="1"/>
  <c r="D32" i="2"/>
  <c r="G32" i="2" s="1"/>
  <c r="D33" i="2"/>
  <c r="G33" i="2" s="1"/>
  <c r="D34" i="2"/>
  <c r="G34" i="2" s="1"/>
  <c r="D20" i="2" l="1"/>
  <c r="D21" i="2"/>
  <c r="G21" i="2" s="1"/>
  <c r="D22" i="2"/>
  <c r="G22" i="2" s="1"/>
  <c r="D23" i="2"/>
  <c r="G23" i="2" s="1"/>
  <c r="D24" i="2"/>
  <c r="G24" i="2" s="1"/>
  <c r="D25" i="2"/>
  <c r="G25" i="2" s="1"/>
  <c r="D26" i="2"/>
  <c r="G26" i="2" s="1"/>
  <c r="D27" i="2"/>
  <c r="G27" i="2" s="1"/>
  <c r="D28" i="2"/>
  <c r="G28" i="2" s="1"/>
  <c r="D29" i="2"/>
  <c r="G29" i="2" s="1"/>
  <c r="G37" i="2"/>
  <c r="G20" i="2" l="1"/>
  <c r="G36" i="2" l="1"/>
  <c r="C47" i="2" s="1"/>
</calcChain>
</file>

<file path=xl/sharedStrings.xml><?xml version="1.0" encoding="utf-8"?>
<sst xmlns="http://schemas.openxmlformats.org/spreadsheetml/2006/main" count="89" uniqueCount="66">
  <si>
    <t>Adresse:</t>
  </si>
  <si>
    <t>Dato:</t>
  </si>
  <si>
    <t>Ref.verdi</t>
  </si>
  <si>
    <t>Grenseverdi</t>
  </si>
  <si>
    <t>Fastleik 2</t>
  </si>
  <si>
    <t>Fastleik 1</t>
  </si>
  <si>
    <t>g</t>
  </si>
  <si>
    <t>Gjennomsnitt</t>
  </si>
  <si>
    <t>mm</t>
  </si>
  <si>
    <t>3810 Gvarv</t>
  </si>
  <si>
    <t>Min/max</t>
  </si>
  <si>
    <t>DA 1</t>
  </si>
  <si>
    <t>DA 2</t>
  </si>
  <si>
    <t>g/eple</t>
  </si>
  <si>
    <t>mm/eple</t>
  </si>
  <si>
    <t>Dekkfarge (0-10)</t>
  </si>
  <si>
    <t>Grunnfarge (1-9)</t>
  </si>
  <si>
    <t>Fruktnr.</t>
  </si>
  <si>
    <t>Produsent:</t>
  </si>
  <si>
    <t>Referanse:</t>
  </si>
  <si>
    <t>Prøvevekt:</t>
  </si>
  <si>
    <t>Storleik:</t>
  </si>
  <si>
    <t>Avling:</t>
  </si>
  <si>
    <t>Sort/grunnstamme:</t>
  </si>
  <si>
    <t>Kommentar:</t>
  </si>
  <si>
    <t>Landbrukets hus</t>
  </si>
  <si>
    <t>Tlf. 90789366</t>
  </si>
  <si>
    <t>Stive- indeks (1-10)</t>
  </si>
  <si>
    <t>"Streif"- indeks</t>
  </si>
  <si>
    <t>DA- snitt</t>
  </si>
  <si>
    <t>Sort:</t>
  </si>
  <si>
    <t>Dato/parameter:</t>
  </si>
  <si>
    <t>Fastleik</t>
  </si>
  <si>
    <t>Refraktometerverdi</t>
  </si>
  <si>
    <t>Stiveindeks</t>
  </si>
  <si>
    <t>Streif-indeks</t>
  </si>
  <si>
    <t>DA-verdi</t>
  </si>
  <si>
    <t>Dekkfarge</t>
  </si>
  <si>
    <t>Grunnfarge</t>
  </si>
  <si>
    <t>Solside</t>
  </si>
  <si>
    <t>Skyggeside</t>
  </si>
  <si>
    <r>
      <t>Resultat testhausting</t>
    </r>
    <r>
      <rPr>
        <u/>
        <sz val="18"/>
        <rFont val="Arial"/>
        <family val="2"/>
      </rPr>
      <t>:</t>
    </r>
  </si>
  <si>
    <t>M 9</t>
  </si>
  <si>
    <t>Haustetidsvurdering</t>
  </si>
  <si>
    <t>Raud Aroma</t>
  </si>
  <si>
    <t>11,0-12,0</t>
  </si>
  <si>
    <t>6,0-7,5</t>
  </si>
  <si>
    <t>0,07-0,11</t>
  </si>
  <si>
    <t>Stor</t>
  </si>
  <si>
    <t>R. Aroma</t>
  </si>
  <si>
    <t>Fagravoll</t>
  </si>
  <si>
    <t>Haustetidsvurdering 2021</t>
  </si>
  <si>
    <t>Optimalverdiar v/hausting (ULO):</t>
  </si>
  <si>
    <t>Optimalverdiar v/hausting (NA):</t>
  </si>
  <si>
    <t>6,5-7,0</t>
  </si>
  <si>
    <t>10,5-11,5</t>
  </si>
  <si>
    <t>4,0-6,0</t>
  </si>
  <si>
    <t>0,10-0,17</t>
  </si>
  <si>
    <t>6,0-7,0</t>
  </si>
  <si>
    <t>Erik Aarnes</t>
  </si>
  <si>
    <t>FruktkonsulentenN MTL</t>
  </si>
  <si>
    <t>Brennavegen 30,</t>
  </si>
  <si>
    <t>E-post: jame@intk.no</t>
  </si>
  <si>
    <t>Strannavegen, 3810 Gvarv</t>
  </si>
  <si>
    <t>Prosjekt: Det digitale treet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</si>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</sst>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0"/>
      <name val="Arial"/>
    </font>
    <font>
      <sz val="18"/>
      <name val="Arial"/>
      <family val="2"/>
    </font>
    <font>
      <b/>
      <sz val="18"/>
      <name val="Arial"/>
      <family val="2"/>
    </font>
    <font>
      <sz val="18"/>
      <color indexed="32"/>
      <name val="Arial"/>
      <family val="2"/>
    </font>
    <font>
      <sz val="48"/>
      <name val="Arial"/>
      <family val="2"/>
    </font>
    <font>
      <b/>
      <sz val="48"/>
      <name val="Arial"/>
      <family val="2"/>
    </font>
    <font>
      <b/>
      <u/>
      <sz val="18"/>
      <name val="Arial"/>
      <family val="2"/>
    </font>
    <font>
      <u/>
      <sz val="18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Border="1"/>
    <xf numFmtId="14" fontId="1" fillId="0" borderId="0" xfId="0" applyNumberFormat="1" applyFont="1" applyBorder="1"/>
    <xf numFmtId="1" fontId="1" fillId="2" borderId="0" xfId="0" applyNumberFormat="1" applyFont="1" applyFill="1" applyBorder="1"/>
    <xf numFmtId="1" fontId="1" fillId="0" borderId="0" xfId="0" applyNumberFormat="1" applyFont="1" applyBorder="1"/>
    <xf numFmtId="0" fontId="4" fillId="0" borderId="0" xfId="0" applyFont="1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4" xfId="0" applyFont="1" applyBorder="1"/>
    <xf numFmtId="0" fontId="6" fillId="0" borderId="6" xfId="0" applyFont="1" applyBorder="1"/>
    <xf numFmtId="0" fontId="1" fillId="0" borderId="6" xfId="0" applyFont="1" applyBorder="1"/>
    <xf numFmtId="164" fontId="1" fillId="2" borderId="6" xfId="0" applyNumberFormat="1" applyFont="1" applyFill="1" applyBorder="1"/>
    <xf numFmtId="164" fontId="1" fillId="0" borderId="6" xfId="0" applyNumberFormat="1" applyFont="1" applyBorder="1"/>
    <xf numFmtId="1" fontId="1" fillId="0" borderId="6" xfId="0" applyNumberFormat="1" applyFont="1" applyBorder="1"/>
    <xf numFmtId="165" fontId="3" fillId="2" borderId="6" xfId="0" applyNumberFormat="1" applyFont="1" applyFill="1" applyBorder="1"/>
    <xf numFmtId="0" fontId="1" fillId="0" borderId="6" xfId="0" applyFont="1" applyFill="1" applyBorder="1"/>
    <xf numFmtId="0" fontId="6" fillId="0" borderId="7" xfId="0" applyFont="1" applyBorder="1"/>
    <xf numFmtId="0" fontId="6" fillId="0" borderId="8" xfId="0" applyFont="1" applyBorder="1"/>
    <xf numFmtId="0" fontId="1" fillId="0" borderId="7" xfId="0" applyFont="1" applyBorder="1"/>
    <xf numFmtId="0" fontId="1" fillId="0" borderId="8" xfId="0" applyFont="1" applyBorder="1"/>
    <xf numFmtId="0" fontId="3" fillId="2" borderId="9" xfId="0" applyFont="1" applyFill="1" applyBorder="1"/>
    <xf numFmtId="0" fontId="3" fillId="2" borderId="10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5" fillId="0" borderId="12" xfId="0" applyFont="1" applyBorder="1"/>
    <xf numFmtId="0" fontId="5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2" fontId="3" fillId="2" borderId="10" xfId="0" applyNumberFormat="1" applyFont="1" applyFill="1" applyBorder="1"/>
    <xf numFmtId="164" fontId="1" fillId="0" borderId="6" xfId="0" applyNumberFormat="1" applyFont="1" applyBorder="1" applyAlignment="1">
      <alignment horizontal="right"/>
    </xf>
    <xf numFmtId="2" fontId="1" fillId="0" borderId="6" xfId="0" applyNumberFormat="1" applyFont="1" applyBorder="1"/>
    <xf numFmtId="0" fontId="7" fillId="4" borderId="6" xfId="0" applyFont="1" applyFill="1" applyBorder="1"/>
    <xf numFmtId="16" fontId="7" fillId="4" borderId="6" xfId="0" applyNumberFormat="1" applyFont="1" applyFill="1" applyBorder="1"/>
    <xf numFmtId="0" fontId="1" fillId="4" borderId="6" xfId="0" applyFont="1" applyFill="1" applyBorder="1"/>
    <xf numFmtId="0" fontId="1" fillId="4" borderId="0" xfId="0" applyFont="1" applyFill="1"/>
    <xf numFmtId="164" fontId="1" fillId="4" borderId="6" xfId="0" applyNumberFormat="1" applyFont="1" applyFill="1" applyBorder="1"/>
    <xf numFmtId="165" fontId="1" fillId="4" borderId="6" xfId="0" applyNumberFormat="1" applyFont="1" applyFill="1" applyBorder="1"/>
    <xf numFmtId="2" fontId="1" fillId="4" borderId="6" xfId="0" applyNumberFormat="1" applyFont="1" applyFill="1" applyBorder="1"/>
    <xf numFmtId="1" fontId="1" fillId="4" borderId="6" xfId="0" applyNumberFormat="1" applyFont="1" applyFill="1" applyBorder="1"/>
    <xf numFmtId="165" fontId="1" fillId="0" borderId="6" xfId="0" applyNumberFormat="1" applyFont="1" applyFill="1" applyBorder="1"/>
    <xf numFmtId="0" fontId="1" fillId="0" borderId="6" xfId="0" applyFont="1" applyFill="1" applyBorder="1" applyAlignment="1">
      <alignment horizontal="right"/>
    </xf>
    <xf numFmtId="1" fontId="1" fillId="0" borderId="6" xfId="0" applyNumberFormat="1" applyFont="1" applyBorder="1" applyAlignment="1">
      <alignment horizontal="right"/>
    </xf>
    <xf numFmtId="0" fontId="8" fillId="0" borderId="0" xfId="0" applyFont="1"/>
    <xf numFmtId="2" fontId="0" fillId="0" borderId="0" xfId="0" applyNumberFormat="1"/>
    <xf numFmtId="165" fontId="1" fillId="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51</xdr:row>
      <xdr:rowOff>182880</xdr:rowOff>
    </xdr:from>
    <xdr:to>
      <xdr:col>7</xdr:col>
      <xdr:colOff>769620</xdr:colOff>
      <xdr:row>55</xdr:row>
      <xdr:rowOff>38100</xdr:rowOff>
    </xdr:to>
    <xdr:sp macro="" textlink="">
      <xdr:nvSpPr>
        <xdr:cNvPr id="8" name="TekstSylinder 7">
          <a:extLst>
            <a:ext uri="{FF2B5EF4-FFF2-40B4-BE49-F238E27FC236}">
              <a16:creationId xmlns:a16="http://schemas.microsoft.com/office/drawing/2014/main" id="{10469FA1-5E25-4E97-A9FB-915B3D8A14CE}"/>
            </a:ext>
          </a:extLst>
        </xdr:cNvPr>
        <xdr:cNvSpPr txBox="1"/>
      </xdr:nvSpPr>
      <xdr:spPr>
        <a:xfrm>
          <a:off x="10043160" y="14478000"/>
          <a:ext cx="4632960" cy="769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/>
            <a:t>Foto ved analyse 15.09.2021. Epla</a:t>
          </a:r>
          <a:r>
            <a:rPr lang="nb-NO" sz="1100" baseline="0"/>
            <a:t> ligg i hht. nummerrering på foto til venstre på alle bileta. Eple nr. 2,3,4,9 og 10 med glas. Nr. 10 med prikk i tillegg. Klarte kamera å detektere det?</a:t>
          </a:r>
          <a:endParaRPr lang="nb-NO" sz="1100"/>
        </a:p>
      </xdr:txBody>
    </xdr:sp>
    <xdr:clientData/>
  </xdr:twoCellAnchor>
  <xdr:twoCellAnchor editAs="oneCell">
    <xdr:from>
      <xdr:col>3</xdr:col>
      <xdr:colOff>137173</xdr:colOff>
      <xdr:row>42</xdr:row>
      <xdr:rowOff>167641</xdr:rowOff>
    </xdr:from>
    <xdr:to>
      <xdr:col>5</xdr:col>
      <xdr:colOff>844448</xdr:colOff>
      <xdr:row>50</xdr:row>
      <xdr:rowOff>279863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A39B757C-5E05-4B26-9EB3-537A492BB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7533" y="11856721"/>
          <a:ext cx="3656215" cy="2428702"/>
        </a:xfrm>
        <a:prstGeom prst="rect">
          <a:avLst/>
        </a:prstGeom>
      </xdr:spPr>
    </xdr:pic>
    <xdr:clientData/>
  </xdr:twoCellAnchor>
  <xdr:twoCellAnchor editAs="oneCell">
    <xdr:from>
      <xdr:col>5</xdr:col>
      <xdr:colOff>861073</xdr:colOff>
      <xdr:row>42</xdr:row>
      <xdr:rowOff>167641</xdr:rowOff>
    </xdr:from>
    <xdr:to>
      <xdr:col>7</xdr:col>
      <xdr:colOff>250088</xdr:colOff>
      <xdr:row>50</xdr:row>
      <xdr:rowOff>279863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C08FD391-B84D-41B1-9CF5-CBBFCE484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0373" y="11856721"/>
          <a:ext cx="3656215" cy="2428702"/>
        </a:xfrm>
        <a:prstGeom prst="rect">
          <a:avLst/>
        </a:prstGeom>
      </xdr:spPr>
    </xdr:pic>
    <xdr:clientData/>
  </xdr:twoCellAnchor>
  <xdr:twoCellAnchor editAs="oneCell">
    <xdr:from>
      <xdr:col>7</xdr:col>
      <xdr:colOff>266713</xdr:colOff>
      <xdr:row>42</xdr:row>
      <xdr:rowOff>182881</xdr:rowOff>
    </xdr:from>
    <xdr:to>
      <xdr:col>11</xdr:col>
      <xdr:colOff>219608</xdr:colOff>
      <xdr:row>51</xdr:row>
      <xdr:rowOff>5543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27D6ED70-078C-47E4-914A-4A94FCB73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3213" y="11871961"/>
          <a:ext cx="3656215" cy="2428702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228613</xdr:colOff>
      <xdr:row>42</xdr:row>
      <xdr:rowOff>198121</xdr:rowOff>
    </xdr:from>
    <xdr:to>
      <xdr:col>13</xdr:col>
      <xdr:colOff>852068</xdr:colOff>
      <xdr:row>51</xdr:row>
      <xdr:rowOff>20783</xdr:rowOff>
    </xdr:to>
    <xdr:pic>
      <xdr:nvPicPr>
        <xdr:cNvPr id="10" name="Bilde 9">
          <a:extLst>
            <a:ext uri="{FF2B5EF4-FFF2-40B4-BE49-F238E27FC236}">
              <a16:creationId xmlns:a16="http://schemas.microsoft.com/office/drawing/2014/main" id="{E89CF501-23AA-4243-9BB6-4E3B53F7F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8433" y="11887201"/>
          <a:ext cx="3656215" cy="24287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me/Prosjekt/Lagringsprosjekt%20Telefrukt/2017/Kvalitetsanalyse%20Discovery%2014.08.2017-%20Arne%20Kjerpeseth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N"/>
    </sheetNames>
    <sheetDataSet>
      <sheetData sheetId="0">
        <row r="47">
          <cell r="C47" t="e">
            <v>#DIV/0!</v>
          </cell>
        </row>
      </sheetData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5"/>
  <sheetViews>
    <sheetView tabSelected="1" topLeftCell="A40" zoomScaleNormal="100" workbookViewId="0">
      <selection activeCell="F57" sqref="F57"/>
    </sheetView>
  </sheetViews>
  <sheetFormatPr baseColWidth="10" defaultRowHeight="13.2" x14ac:dyDescent="0.25"/>
  <cols>
    <col min="1" max="1" width="33" customWidth="1"/>
    <col min="2" max="2" width="46" customWidth="1"/>
    <col min="3" max="3" width="18.5546875" customWidth="1"/>
    <col min="4" max="4" width="25.5546875" customWidth="1"/>
    <col min="5" max="5" width="17.44140625" customWidth="1"/>
    <col min="6" max="6" width="34.5546875" customWidth="1"/>
    <col min="7" max="7" width="27.6640625" customWidth="1"/>
    <col min="8" max="8" width="12.88671875" bestFit="1" customWidth="1"/>
    <col min="10" max="10" width="16.6640625" customWidth="1"/>
    <col min="11" max="11" width="12.88671875" bestFit="1" customWidth="1"/>
    <col min="12" max="12" width="16.5546875" customWidth="1"/>
    <col min="13" max="14" width="27.6640625" customWidth="1"/>
  </cols>
  <sheetData>
    <row r="1" spans="1:14" x14ac:dyDescent="0.25">
      <c r="A1" t="s">
        <v>60</v>
      </c>
    </row>
    <row r="2" spans="1:14" x14ac:dyDescent="0.25">
      <c r="A2" t="s">
        <v>25</v>
      </c>
    </row>
    <row r="3" spans="1:14" x14ac:dyDescent="0.25">
      <c r="A3" t="s">
        <v>61</v>
      </c>
    </row>
    <row r="4" spans="1:14" x14ac:dyDescent="0.25">
      <c r="A4" t="s">
        <v>9</v>
      </c>
    </row>
    <row r="5" spans="1:14" x14ac:dyDescent="0.25">
      <c r="A5" t="s">
        <v>26</v>
      </c>
    </row>
    <row r="6" spans="1:14" x14ac:dyDescent="0.25">
      <c r="A6" t="s">
        <v>62</v>
      </c>
    </row>
    <row r="7" spans="1:14" ht="13.8" thickBot="1" x14ac:dyDescent="0.3"/>
    <row r="8" spans="1:14" s="6" customFormat="1" ht="61.2" thickBot="1" x14ac:dyDescent="1.05">
      <c r="C8" s="28" t="s">
        <v>51</v>
      </c>
      <c r="D8" s="29"/>
      <c r="E8" s="30"/>
      <c r="F8" s="30"/>
      <c r="G8" s="30"/>
      <c r="H8" s="31"/>
    </row>
    <row r="9" spans="1:14" s="1" customFormat="1" ht="22.8" x14ac:dyDescent="0.4">
      <c r="A9" s="7" t="s">
        <v>18</v>
      </c>
      <c r="B9" s="8" t="s">
        <v>59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1:14" s="1" customFormat="1" ht="22.8" x14ac:dyDescent="0.4">
      <c r="A10" s="10" t="s">
        <v>0</v>
      </c>
      <c r="B10" s="2" t="s">
        <v>63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1"/>
    </row>
    <row r="11" spans="1:14" s="1" customFormat="1" ht="22.8" x14ac:dyDescent="0.4">
      <c r="A11" s="10" t="s">
        <v>19</v>
      </c>
      <c r="B11" s="2" t="s">
        <v>43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1"/>
    </row>
    <row r="12" spans="1:14" s="1" customFormat="1" ht="22.8" x14ac:dyDescent="0.4">
      <c r="A12" s="10" t="s">
        <v>1</v>
      </c>
      <c r="B12" s="3">
        <v>44453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1"/>
    </row>
    <row r="13" spans="1:14" s="1" customFormat="1" ht="22.8" x14ac:dyDescent="0.4">
      <c r="A13" s="10" t="s">
        <v>20</v>
      </c>
      <c r="B13" s="2"/>
      <c r="C13" s="2"/>
      <c r="D13" s="4">
        <f>K36</f>
        <v>171.625</v>
      </c>
      <c r="E13" s="2" t="s">
        <v>6</v>
      </c>
      <c r="F13" s="2"/>
      <c r="G13" s="2"/>
      <c r="H13" s="2"/>
      <c r="I13" s="2"/>
      <c r="J13" s="2"/>
      <c r="K13" s="2"/>
      <c r="L13" s="2"/>
      <c r="M13" s="2"/>
      <c r="N13" s="11"/>
    </row>
    <row r="14" spans="1:14" s="1" customFormat="1" ht="22.8" x14ac:dyDescent="0.4">
      <c r="A14" s="10" t="s">
        <v>21</v>
      </c>
      <c r="B14" s="5"/>
      <c r="C14" s="2"/>
      <c r="D14" s="4">
        <f>L36</f>
        <v>77.83</v>
      </c>
      <c r="E14" s="2" t="s">
        <v>8</v>
      </c>
      <c r="F14" s="2"/>
      <c r="G14" s="2"/>
      <c r="H14" s="2"/>
      <c r="I14" s="2"/>
      <c r="J14" s="2"/>
      <c r="K14" s="2"/>
      <c r="L14" s="2"/>
      <c r="M14" s="2"/>
      <c r="N14" s="11"/>
    </row>
    <row r="15" spans="1:14" s="1" customFormat="1" ht="22.8" x14ac:dyDescent="0.4">
      <c r="A15" s="10" t="s">
        <v>22</v>
      </c>
      <c r="B15" s="2" t="s">
        <v>48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1"/>
    </row>
    <row r="16" spans="1:14" s="1" customFormat="1" ht="22.8" x14ac:dyDescent="0.4">
      <c r="A16" s="10" t="s">
        <v>23</v>
      </c>
      <c r="B16" s="2" t="s">
        <v>44</v>
      </c>
      <c r="C16" s="2" t="s">
        <v>50</v>
      </c>
      <c r="D16" s="2"/>
      <c r="E16" s="2" t="s">
        <v>42</v>
      </c>
      <c r="F16" s="2"/>
      <c r="G16" s="2"/>
      <c r="H16" s="2"/>
      <c r="I16" s="2"/>
      <c r="J16" s="2"/>
      <c r="K16" s="2"/>
      <c r="L16" s="2"/>
      <c r="M16" s="2"/>
      <c r="N16" s="11"/>
    </row>
    <row r="17" spans="1:14" s="1" customFormat="1" ht="22.8" x14ac:dyDescent="0.4">
      <c r="A17" s="10" t="s">
        <v>24</v>
      </c>
      <c r="B17" s="2" t="s">
        <v>64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1"/>
    </row>
    <row r="18" spans="1:14" s="1" customFormat="1" ht="22.8" x14ac:dyDescent="0.4">
      <c r="A18" s="1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1"/>
    </row>
    <row r="19" spans="1:14" s="1" customFormat="1" ht="22.8" x14ac:dyDescent="0.4">
      <c r="A19" s="20" t="s">
        <v>17</v>
      </c>
      <c r="B19" s="13" t="s">
        <v>5</v>
      </c>
      <c r="C19" s="13" t="s">
        <v>4</v>
      </c>
      <c r="D19" s="13" t="s">
        <v>7</v>
      </c>
      <c r="E19" s="13" t="s">
        <v>2</v>
      </c>
      <c r="F19" s="13" t="s">
        <v>27</v>
      </c>
      <c r="G19" s="13" t="s">
        <v>28</v>
      </c>
      <c r="H19" s="13" t="s">
        <v>11</v>
      </c>
      <c r="I19" s="13" t="s">
        <v>12</v>
      </c>
      <c r="J19" s="13" t="s">
        <v>29</v>
      </c>
      <c r="K19" s="13" t="s">
        <v>13</v>
      </c>
      <c r="L19" s="13" t="s">
        <v>14</v>
      </c>
      <c r="M19" s="13" t="s">
        <v>15</v>
      </c>
      <c r="N19" s="21" t="s">
        <v>16</v>
      </c>
    </row>
    <row r="20" spans="1:14" s="1" customFormat="1" ht="22.8" x14ac:dyDescent="0.4">
      <c r="A20" s="22">
        <v>1</v>
      </c>
      <c r="B20" s="14">
        <v>6.5380000000000003</v>
      </c>
      <c r="C20" s="14">
        <v>7.3449999999999998</v>
      </c>
      <c r="D20" s="48">
        <f t="shared" ref="D20:D29" si="0">AVERAGE(B20:C20)</f>
        <v>6.9414999999999996</v>
      </c>
      <c r="E20" s="16">
        <v>14</v>
      </c>
      <c r="F20" s="17">
        <v>3</v>
      </c>
      <c r="G20" s="18">
        <f t="shared" ref="G20:G37" si="1">D20/(E20*F20)</f>
        <v>0.16527380952380952</v>
      </c>
      <c r="H20" s="34"/>
      <c r="I20" s="34"/>
      <c r="J20" s="34" t="e">
        <f>AVERAGE(H20:I20)</f>
        <v>#DIV/0!</v>
      </c>
      <c r="K20" s="14" t="s">
        <v>65</v>
      </c>
      <c r="L20" s="16" t="s">
        <v>65</v>
      </c>
      <c r="M20" s="14" t="s">
        <v>65</v>
      </c>
      <c r="N20" s="23" t="s">
        <v>65</v>
      </c>
    </row>
    <row r="21" spans="1:14" s="1" customFormat="1" ht="22.8" x14ac:dyDescent="0.4">
      <c r="A21" s="22">
        <v>2</v>
      </c>
      <c r="B21" s="14">
        <v>8.9190000000000005</v>
      </c>
      <c r="C21" s="14">
        <v>6.8239999999999998</v>
      </c>
      <c r="D21" s="48">
        <f t="shared" si="0"/>
        <v>7.8715000000000002</v>
      </c>
      <c r="E21" s="16">
        <v>14</v>
      </c>
      <c r="F21" s="17">
        <v>7.5</v>
      </c>
      <c r="G21" s="18">
        <f t="shared" si="1"/>
        <v>7.4966666666666668E-2</v>
      </c>
      <c r="H21" s="34"/>
      <c r="I21" s="34"/>
      <c r="J21" s="34" t="e">
        <f t="shared" ref="J21:J35" si="2">AVERAGE(H21:I21)</f>
        <v>#DIV/0!</v>
      </c>
      <c r="K21" s="14">
        <v>190</v>
      </c>
      <c r="L21" s="16">
        <v>80.47</v>
      </c>
      <c r="M21" s="14">
        <v>8</v>
      </c>
      <c r="N21" s="23">
        <v>6</v>
      </c>
    </row>
    <row r="22" spans="1:14" s="1" customFormat="1" ht="22.8" x14ac:dyDescent="0.4">
      <c r="A22" s="22">
        <v>3</v>
      </c>
      <c r="B22" s="14">
        <v>6.3390000000000004</v>
      </c>
      <c r="C22" s="14">
        <v>6.843</v>
      </c>
      <c r="D22" s="48">
        <f t="shared" si="0"/>
        <v>6.5910000000000002</v>
      </c>
      <c r="E22" s="16">
        <v>14</v>
      </c>
      <c r="F22" s="17">
        <v>3</v>
      </c>
      <c r="G22" s="18">
        <f t="shared" si="1"/>
        <v>0.15692857142857145</v>
      </c>
      <c r="H22" s="34"/>
      <c r="I22" s="34"/>
      <c r="J22" s="34" t="e">
        <f t="shared" si="2"/>
        <v>#DIV/0!</v>
      </c>
      <c r="K22" s="14">
        <v>157</v>
      </c>
      <c r="L22" s="16">
        <v>76.73</v>
      </c>
      <c r="M22" s="14">
        <v>7.5</v>
      </c>
      <c r="N22" s="23">
        <v>7</v>
      </c>
    </row>
    <row r="23" spans="1:14" s="1" customFormat="1" ht="22.8" x14ac:dyDescent="0.4">
      <c r="A23" s="22">
        <v>4</v>
      </c>
      <c r="B23" s="14">
        <v>6.5019999999999998</v>
      </c>
      <c r="C23" s="14">
        <v>6.3579999999999997</v>
      </c>
      <c r="D23" s="48">
        <f t="shared" si="0"/>
        <v>6.43</v>
      </c>
      <c r="E23" s="16">
        <v>14</v>
      </c>
      <c r="F23" s="17">
        <v>3.5</v>
      </c>
      <c r="G23" s="18">
        <f t="shared" si="1"/>
        <v>0.13122448979591836</v>
      </c>
      <c r="H23" s="34"/>
      <c r="I23" s="34"/>
      <c r="J23" s="34" t="e">
        <f t="shared" si="2"/>
        <v>#DIV/0!</v>
      </c>
      <c r="K23" s="14">
        <v>171</v>
      </c>
      <c r="L23" s="16">
        <v>79.959999999999994</v>
      </c>
      <c r="M23" s="14">
        <v>8.5</v>
      </c>
      <c r="N23" s="23">
        <v>6.5</v>
      </c>
    </row>
    <row r="24" spans="1:14" s="1" customFormat="1" ht="22.8" x14ac:dyDescent="0.4">
      <c r="A24" s="22">
        <v>5</v>
      </c>
      <c r="B24" s="44">
        <v>7.4260000000000002</v>
      </c>
      <c r="C24" s="44">
        <v>6.899</v>
      </c>
      <c r="D24" s="48">
        <f t="shared" si="0"/>
        <v>7.1624999999999996</v>
      </c>
      <c r="E24" s="16">
        <v>14</v>
      </c>
      <c r="F24" s="45">
        <v>4.5</v>
      </c>
      <c r="G24" s="18">
        <f t="shared" si="1"/>
        <v>0.11369047619047619</v>
      </c>
      <c r="H24" s="34"/>
      <c r="I24" s="34"/>
      <c r="J24" s="34" t="e">
        <f t="shared" si="2"/>
        <v>#DIV/0!</v>
      </c>
      <c r="K24" s="14" t="s">
        <v>65</v>
      </c>
      <c r="L24" s="16" t="s">
        <v>65</v>
      </c>
      <c r="M24" s="14" t="s">
        <v>65</v>
      </c>
      <c r="N24" s="23" t="s">
        <v>65</v>
      </c>
    </row>
    <row r="25" spans="1:14" s="1" customFormat="1" ht="22.8" x14ac:dyDescent="0.4">
      <c r="A25" s="22">
        <v>6</v>
      </c>
      <c r="B25" s="19">
        <v>9.5969999999999995</v>
      </c>
      <c r="C25" s="19">
        <v>6.6139999999999999</v>
      </c>
      <c r="D25" s="48">
        <f t="shared" si="0"/>
        <v>8.1054999999999993</v>
      </c>
      <c r="E25" s="16">
        <v>14</v>
      </c>
      <c r="F25" s="17">
        <v>6</v>
      </c>
      <c r="G25" s="18">
        <f t="shared" si="1"/>
        <v>9.6494047619047604E-2</v>
      </c>
      <c r="H25" s="34"/>
      <c r="I25" s="34"/>
      <c r="J25" s="34" t="e">
        <f t="shared" si="2"/>
        <v>#DIV/0!</v>
      </c>
      <c r="K25" s="14">
        <v>170</v>
      </c>
      <c r="L25" s="16">
        <v>77.63</v>
      </c>
      <c r="M25" s="14">
        <v>5</v>
      </c>
      <c r="N25" s="23">
        <v>6</v>
      </c>
    </row>
    <row r="26" spans="1:14" s="1" customFormat="1" ht="22.8" x14ac:dyDescent="0.4">
      <c r="A26" s="22">
        <v>7</v>
      </c>
      <c r="B26" s="19">
        <v>6.4729999999999999</v>
      </c>
      <c r="C26" s="19">
        <v>7.0510000000000002</v>
      </c>
      <c r="D26" s="48">
        <f t="shared" si="0"/>
        <v>6.7620000000000005</v>
      </c>
      <c r="E26" s="16">
        <v>14</v>
      </c>
      <c r="F26" s="17">
        <v>8.5</v>
      </c>
      <c r="G26" s="18">
        <f t="shared" si="1"/>
        <v>5.682352941176471E-2</v>
      </c>
      <c r="H26" s="34"/>
      <c r="I26" s="34"/>
      <c r="J26" s="34" t="e">
        <f t="shared" si="2"/>
        <v>#DIV/0!</v>
      </c>
      <c r="K26" s="14">
        <v>136</v>
      </c>
      <c r="L26" s="16">
        <v>71.2</v>
      </c>
      <c r="M26" s="14">
        <v>7</v>
      </c>
      <c r="N26" s="23">
        <v>5.5</v>
      </c>
    </row>
    <row r="27" spans="1:14" s="1" customFormat="1" ht="22.8" x14ac:dyDescent="0.4">
      <c r="A27" s="22">
        <v>8</v>
      </c>
      <c r="B27" s="19">
        <v>7.9119999999999999</v>
      </c>
      <c r="C27" s="19">
        <v>6.8330000000000002</v>
      </c>
      <c r="D27" s="48">
        <f t="shared" si="0"/>
        <v>7.3725000000000005</v>
      </c>
      <c r="E27" s="16">
        <v>14</v>
      </c>
      <c r="F27" s="17">
        <v>7.5</v>
      </c>
      <c r="G27" s="18">
        <f t="shared" si="1"/>
        <v>7.0214285714285715E-2</v>
      </c>
      <c r="H27" s="34"/>
      <c r="I27" s="34"/>
      <c r="J27" s="34" t="e">
        <f t="shared" si="2"/>
        <v>#DIV/0!</v>
      </c>
      <c r="K27" s="14">
        <v>184</v>
      </c>
      <c r="L27" s="16">
        <v>80.78</v>
      </c>
      <c r="M27" s="14">
        <v>7.5</v>
      </c>
      <c r="N27" s="23">
        <v>7</v>
      </c>
    </row>
    <row r="28" spans="1:14" s="1" customFormat="1" ht="22.8" x14ac:dyDescent="0.4">
      <c r="A28" s="22">
        <v>9</v>
      </c>
      <c r="B28" s="19"/>
      <c r="C28" s="19"/>
      <c r="D28" s="15" t="e">
        <f t="shared" si="0"/>
        <v>#DIV/0!</v>
      </c>
      <c r="E28" s="16"/>
      <c r="F28" s="17"/>
      <c r="G28" s="18" t="e">
        <f t="shared" si="1"/>
        <v>#DIV/0!</v>
      </c>
      <c r="H28" s="34"/>
      <c r="I28" s="34"/>
      <c r="J28" s="34" t="e">
        <f t="shared" si="2"/>
        <v>#DIV/0!</v>
      </c>
      <c r="K28" s="14">
        <v>164</v>
      </c>
      <c r="L28" s="16">
        <v>74.17</v>
      </c>
      <c r="M28" s="14">
        <v>9.9</v>
      </c>
      <c r="N28" s="23">
        <v>9</v>
      </c>
    </row>
    <row r="29" spans="1:14" s="1" customFormat="1" ht="22.8" x14ac:dyDescent="0.4">
      <c r="A29" s="22">
        <v>10</v>
      </c>
      <c r="B29" s="19"/>
      <c r="C29" s="19"/>
      <c r="D29" s="15" t="e">
        <f t="shared" si="0"/>
        <v>#DIV/0!</v>
      </c>
      <c r="E29" s="16"/>
      <c r="F29" s="17"/>
      <c r="G29" s="18" t="e">
        <f t="shared" si="1"/>
        <v>#DIV/0!</v>
      </c>
      <c r="H29" s="34"/>
      <c r="I29" s="34"/>
      <c r="J29" s="34" t="e">
        <f t="shared" si="2"/>
        <v>#DIV/0!</v>
      </c>
      <c r="K29" s="14">
        <v>201</v>
      </c>
      <c r="L29" s="16">
        <v>81.7</v>
      </c>
      <c r="M29" s="14">
        <v>8</v>
      </c>
      <c r="N29" s="23">
        <v>7.5</v>
      </c>
    </row>
    <row r="30" spans="1:14" s="1" customFormat="1" ht="22.8" x14ac:dyDescent="0.4">
      <c r="A30" s="22">
        <v>11</v>
      </c>
      <c r="B30" s="19"/>
      <c r="C30" s="19"/>
      <c r="D30" s="15" t="e">
        <f t="shared" ref="D30:D34" si="3">AVERAGE(B30:C30)</f>
        <v>#DIV/0!</v>
      </c>
      <c r="E30" s="16"/>
      <c r="F30" s="17"/>
      <c r="G30" s="18" t="e">
        <f t="shared" si="1"/>
        <v>#DIV/0!</v>
      </c>
      <c r="H30" s="34"/>
      <c r="I30" s="34"/>
      <c r="J30" s="34" t="e">
        <f t="shared" si="2"/>
        <v>#DIV/0!</v>
      </c>
      <c r="K30" s="14"/>
      <c r="L30" s="16"/>
      <c r="M30" s="14"/>
      <c r="N30" s="23"/>
    </row>
    <row r="31" spans="1:14" s="1" customFormat="1" ht="22.8" x14ac:dyDescent="0.4">
      <c r="A31" s="22">
        <v>12</v>
      </c>
      <c r="B31" s="19"/>
      <c r="C31" s="19"/>
      <c r="D31" s="15" t="e">
        <f t="shared" si="3"/>
        <v>#DIV/0!</v>
      </c>
      <c r="E31" s="16"/>
      <c r="F31" s="17"/>
      <c r="G31" s="18" t="e">
        <f t="shared" si="1"/>
        <v>#DIV/0!</v>
      </c>
      <c r="H31" s="34"/>
      <c r="I31" s="34"/>
      <c r="J31" s="34" t="e">
        <f t="shared" si="2"/>
        <v>#DIV/0!</v>
      </c>
      <c r="K31" s="14"/>
      <c r="L31" s="16"/>
      <c r="M31" s="14"/>
      <c r="N31" s="23"/>
    </row>
    <row r="32" spans="1:14" s="1" customFormat="1" ht="22.8" x14ac:dyDescent="0.4">
      <c r="A32" s="22">
        <v>13</v>
      </c>
      <c r="B32" s="19"/>
      <c r="C32" s="19"/>
      <c r="D32" s="15" t="e">
        <f t="shared" si="3"/>
        <v>#DIV/0!</v>
      </c>
      <c r="E32" s="16"/>
      <c r="F32" s="17"/>
      <c r="G32" s="18" t="e">
        <f t="shared" si="1"/>
        <v>#DIV/0!</v>
      </c>
      <c r="H32" s="34"/>
      <c r="I32" s="34"/>
      <c r="J32" s="34" t="e">
        <f t="shared" si="2"/>
        <v>#DIV/0!</v>
      </c>
      <c r="K32" s="14"/>
      <c r="L32" s="16"/>
      <c r="M32" s="14"/>
      <c r="N32" s="23"/>
    </row>
    <row r="33" spans="1:14" s="1" customFormat="1" ht="22.8" x14ac:dyDescent="0.4">
      <c r="A33" s="22">
        <v>14</v>
      </c>
      <c r="B33" s="19"/>
      <c r="C33" s="19"/>
      <c r="D33" s="15" t="e">
        <f t="shared" si="3"/>
        <v>#DIV/0!</v>
      </c>
      <c r="E33" s="16"/>
      <c r="F33" s="17"/>
      <c r="G33" s="18" t="e">
        <f t="shared" si="1"/>
        <v>#DIV/0!</v>
      </c>
      <c r="H33" s="34"/>
      <c r="I33" s="34"/>
      <c r="J33" s="34" t="e">
        <f t="shared" si="2"/>
        <v>#DIV/0!</v>
      </c>
      <c r="K33" s="14"/>
      <c r="L33" s="16"/>
      <c r="M33" s="14"/>
      <c r="N33" s="23"/>
    </row>
    <row r="34" spans="1:14" s="1" customFormat="1" ht="22.8" x14ac:dyDescent="0.4">
      <c r="A34" s="22">
        <v>15</v>
      </c>
      <c r="B34" s="19"/>
      <c r="C34" s="19"/>
      <c r="D34" s="15" t="e">
        <f t="shared" si="3"/>
        <v>#DIV/0!</v>
      </c>
      <c r="E34" s="16"/>
      <c r="F34" s="17"/>
      <c r="G34" s="18" t="e">
        <f t="shared" si="1"/>
        <v>#DIV/0!</v>
      </c>
      <c r="H34" s="34"/>
      <c r="I34" s="34"/>
      <c r="J34" s="34" t="e">
        <f t="shared" si="2"/>
        <v>#DIV/0!</v>
      </c>
      <c r="K34" s="14"/>
      <c r="L34" s="16"/>
      <c r="M34" s="14"/>
      <c r="N34" s="23"/>
    </row>
    <row r="35" spans="1:14" s="1" customFormat="1" ht="22.8" x14ac:dyDescent="0.4">
      <c r="A35" s="22" t="s">
        <v>10</v>
      </c>
      <c r="B35" s="19"/>
      <c r="C35" s="19"/>
      <c r="D35" s="15"/>
      <c r="E35" s="33"/>
      <c r="F35" s="17"/>
      <c r="G35" s="18"/>
      <c r="H35" s="34"/>
      <c r="I35" s="34"/>
      <c r="J35" s="34" t="e">
        <f t="shared" si="2"/>
        <v>#DIV/0!</v>
      </c>
      <c r="K35" s="14"/>
      <c r="L35" s="17"/>
      <c r="M35" s="14"/>
      <c r="N35" s="23"/>
    </row>
    <row r="36" spans="1:14" s="1" customFormat="1" ht="22.8" x14ac:dyDescent="0.4">
      <c r="A36" s="22" t="s">
        <v>7</v>
      </c>
      <c r="B36" s="43">
        <f>AVERAGE(B20:B34)</f>
        <v>7.4632499999999995</v>
      </c>
      <c r="C36" s="43">
        <f>AVERAGE(C20:C34)</f>
        <v>6.8458749999999995</v>
      </c>
      <c r="D36" s="15">
        <f>AVERAGE(B36:C36)</f>
        <v>7.154562499999999</v>
      </c>
      <c r="E36" s="16">
        <f>AVERAGE(E20:E35)</f>
        <v>14</v>
      </c>
      <c r="F36" s="16">
        <f>AVERAGE(F20:F35)</f>
        <v>5.4375</v>
      </c>
      <c r="G36" s="18">
        <f t="shared" si="1"/>
        <v>9.3984400656814432E-2</v>
      </c>
      <c r="H36" s="34" t="e">
        <f>AVERAGE(H20:H34)</f>
        <v>#DIV/0!</v>
      </c>
      <c r="I36" s="34" t="e">
        <f>AVERAGE(I20:I34)</f>
        <v>#DIV/0!</v>
      </c>
      <c r="J36" s="34" t="e">
        <f>AVERAGE(J20:J34)</f>
        <v>#DIV/0!</v>
      </c>
      <c r="K36" s="16">
        <f>AVERAGE(K20:K34)</f>
        <v>171.625</v>
      </c>
      <c r="L36" s="16">
        <f>AVERAGE(L20:L35)</f>
        <v>77.83</v>
      </c>
      <c r="M36" s="16">
        <f t="shared" ref="M36:N36" si="4">AVERAGE(M20:M34)</f>
        <v>7.6749999999999998</v>
      </c>
      <c r="N36" s="16">
        <f t="shared" si="4"/>
        <v>6.8125</v>
      </c>
    </row>
    <row r="37" spans="1:14" s="1" customFormat="1" ht="23.4" thickBot="1" x14ac:dyDescent="0.45">
      <c r="A37" s="24" t="s">
        <v>3</v>
      </c>
      <c r="B37" s="25">
        <v>6</v>
      </c>
      <c r="C37" s="25">
        <v>6</v>
      </c>
      <c r="D37" s="25">
        <v>6</v>
      </c>
      <c r="E37" s="25">
        <v>12</v>
      </c>
      <c r="F37" s="25">
        <v>7.5</v>
      </c>
      <c r="G37" s="32">
        <f t="shared" si="1"/>
        <v>6.6666666666666666E-2</v>
      </c>
      <c r="H37" s="25"/>
      <c r="I37" s="25"/>
      <c r="J37" s="25"/>
      <c r="K37" s="26">
        <v>100</v>
      </c>
      <c r="L37" s="26">
        <v>60</v>
      </c>
      <c r="M37" s="26">
        <v>3</v>
      </c>
      <c r="N37" s="27">
        <v>7</v>
      </c>
    </row>
    <row r="38" spans="1:14" s="1" customFormat="1" ht="22.8" x14ac:dyDescent="0.4">
      <c r="A38" s="2"/>
      <c r="B38" s="2" t="s">
        <v>39</v>
      </c>
      <c r="C38" s="2" t="s">
        <v>40</v>
      </c>
      <c r="D38" s="2"/>
      <c r="E38" s="2"/>
      <c r="F38" s="2"/>
      <c r="G38" s="2"/>
      <c r="H38" s="2"/>
      <c r="I38" s="2"/>
      <c r="J38" s="2"/>
    </row>
    <row r="39" spans="1:14" s="1" customFormat="1" ht="22.8" x14ac:dyDescent="0.4">
      <c r="A39" s="2" t="s">
        <v>53</v>
      </c>
      <c r="B39" s="2"/>
      <c r="C39" s="2"/>
      <c r="D39" s="14" t="s">
        <v>58</v>
      </c>
      <c r="E39" s="14" t="s">
        <v>45</v>
      </c>
      <c r="F39" s="14" t="s">
        <v>46</v>
      </c>
      <c r="G39" s="14" t="s">
        <v>47</v>
      </c>
      <c r="H39" s="2"/>
      <c r="I39" s="2"/>
      <c r="J39" s="2"/>
    </row>
    <row r="40" spans="1:14" s="1" customFormat="1" ht="22.8" x14ac:dyDescent="0.4">
      <c r="A40" s="2" t="s">
        <v>52</v>
      </c>
      <c r="B40" s="2"/>
      <c r="C40" s="2"/>
      <c r="D40" s="14" t="s">
        <v>54</v>
      </c>
      <c r="E40" s="14" t="s">
        <v>55</v>
      </c>
      <c r="F40" s="14" t="s">
        <v>56</v>
      </c>
      <c r="G40" s="14" t="s">
        <v>57</v>
      </c>
      <c r="H40" s="2"/>
      <c r="I40" s="2"/>
      <c r="J40" s="2"/>
    </row>
    <row r="42" spans="1:14" ht="22.8" x14ac:dyDescent="0.4">
      <c r="B42" s="35" t="s">
        <v>41</v>
      </c>
      <c r="C42" s="35" t="s">
        <v>30</v>
      </c>
      <c r="D42" s="38" t="s">
        <v>49</v>
      </c>
      <c r="F42" s="47"/>
    </row>
    <row r="43" spans="1:14" ht="22.8" x14ac:dyDescent="0.4">
      <c r="B43" s="35" t="s">
        <v>31</v>
      </c>
      <c r="C43" s="36">
        <f>B12</f>
        <v>44453</v>
      </c>
    </row>
    <row r="44" spans="1:14" ht="22.8" x14ac:dyDescent="0.4">
      <c r="B44" s="37" t="s">
        <v>32</v>
      </c>
      <c r="C44" s="39">
        <f>D36</f>
        <v>7.154562499999999</v>
      </c>
    </row>
    <row r="45" spans="1:14" ht="22.8" x14ac:dyDescent="0.4">
      <c r="B45" s="37" t="s">
        <v>33</v>
      </c>
      <c r="C45" s="39">
        <f>E36</f>
        <v>14</v>
      </c>
    </row>
    <row r="46" spans="1:14" ht="22.8" x14ac:dyDescent="0.4">
      <c r="B46" s="37" t="s">
        <v>34</v>
      </c>
      <c r="C46" s="39">
        <f>F36</f>
        <v>5.4375</v>
      </c>
    </row>
    <row r="47" spans="1:14" ht="22.8" x14ac:dyDescent="0.4">
      <c r="B47" s="37" t="s">
        <v>35</v>
      </c>
      <c r="C47" s="40">
        <f>G36</f>
        <v>9.3984400656814432E-2</v>
      </c>
    </row>
    <row r="48" spans="1:14" ht="22.8" x14ac:dyDescent="0.4">
      <c r="B48" s="37" t="s">
        <v>36</v>
      </c>
      <c r="C48" s="41" t="e">
        <f>[1]NN!$C$47</f>
        <v>#DIV/0!</v>
      </c>
    </row>
    <row r="49" spans="2:6" ht="22.8" x14ac:dyDescent="0.4">
      <c r="B49" s="37" t="s">
        <v>13</v>
      </c>
      <c r="C49" s="42">
        <f>K36</f>
        <v>171.625</v>
      </c>
    </row>
    <row r="50" spans="2:6" ht="22.8" x14ac:dyDescent="0.4">
      <c r="B50" s="37" t="s">
        <v>14</v>
      </c>
      <c r="C50" s="39">
        <f>L36</f>
        <v>77.83</v>
      </c>
    </row>
    <row r="51" spans="2:6" ht="22.8" x14ac:dyDescent="0.4">
      <c r="B51" s="37" t="s">
        <v>37</v>
      </c>
      <c r="C51" s="39">
        <f>M36</f>
        <v>7.6749999999999998</v>
      </c>
    </row>
    <row r="52" spans="2:6" ht="22.8" x14ac:dyDescent="0.4">
      <c r="B52" s="37" t="s">
        <v>38</v>
      </c>
      <c r="C52" s="39">
        <f>N36</f>
        <v>6.8125</v>
      </c>
    </row>
    <row r="55" spans="2:6" ht="22.8" x14ac:dyDescent="0.4">
      <c r="B55" s="35" t="s">
        <v>41</v>
      </c>
      <c r="C55" s="35" t="s">
        <v>30</v>
      </c>
      <c r="D55" s="38" t="s">
        <v>49</v>
      </c>
    </row>
    <row r="56" spans="2:6" ht="22.8" x14ac:dyDescent="0.4">
      <c r="B56" s="35" t="s">
        <v>31</v>
      </c>
      <c r="C56" s="36"/>
    </row>
    <row r="57" spans="2:6" ht="22.8" x14ac:dyDescent="0.4">
      <c r="B57" s="37" t="s">
        <v>32</v>
      </c>
      <c r="C57" s="39"/>
      <c r="E57" s="46"/>
    </row>
    <row r="58" spans="2:6" ht="22.8" x14ac:dyDescent="0.4">
      <c r="B58" s="37" t="s">
        <v>33</v>
      </c>
      <c r="C58" s="39"/>
      <c r="F58" s="46"/>
    </row>
    <row r="59" spans="2:6" ht="22.8" x14ac:dyDescent="0.4">
      <c r="B59" s="37" t="s">
        <v>34</v>
      </c>
      <c r="C59" s="39"/>
    </row>
    <row r="60" spans="2:6" ht="22.8" x14ac:dyDescent="0.4">
      <c r="B60" s="37" t="s">
        <v>35</v>
      </c>
      <c r="C60" s="40"/>
    </row>
    <row r="61" spans="2:6" ht="22.8" x14ac:dyDescent="0.4">
      <c r="B61" s="37" t="s">
        <v>36</v>
      </c>
      <c r="C61" s="41"/>
    </row>
    <row r="62" spans="2:6" ht="22.8" x14ac:dyDescent="0.4">
      <c r="B62" s="37" t="s">
        <v>13</v>
      </c>
      <c r="C62" s="42"/>
    </row>
    <row r="63" spans="2:6" ht="22.8" x14ac:dyDescent="0.4">
      <c r="B63" s="37" t="s">
        <v>14</v>
      </c>
      <c r="C63" s="39"/>
    </row>
    <row r="64" spans="2:6" ht="22.8" x14ac:dyDescent="0.4">
      <c r="B64" s="37" t="s">
        <v>37</v>
      </c>
      <c r="C64" s="39"/>
    </row>
    <row r="65" spans="2:3" ht="22.8" x14ac:dyDescent="0.4">
      <c r="B65" s="37" t="s">
        <v>38</v>
      </c>
      <c r="C65" s="39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8" scale="5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NN</vt:lpstr>
    </vt:vector>
  </TitlesOfParts>
  <Company>Forsøksringen Telemark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Meland</dc:creator>
  <cp:lastModifiedBy>Jan Husefest Meland</cp:lastModifiedBy>
  <cp:lastPrinted>2021-09-15T08:55:40Z</cp:lastPrinted>
  <dcterms:created xsi:type="dcterms:W3CDTF">1999-08-16T07:25:29Z</dcterms:created>
  <dcterms:modified xsi:type="dcterms:W3CDTF">2021-09-16T10:34:19Z</dcterms:modified>
</cp:coreProperties>
</file>