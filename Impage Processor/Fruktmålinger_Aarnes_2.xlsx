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N Cources\My Study\Master Projects\thesis\Results\Impage Processor\"/>
    </mc:Choice>
  </mc:AlternateContent>
  <xr:revisionPtr revIDLastSave="0" documentId="13_ncr:1_{45A3AABF-4D3B-40C9-B51C-7DE294794C88}" xr6:coauthVersionLast="47" xr6:coauthVersionMax="47" xr10:uidLastSave="{00000000-0000-0000-0000-000000000000}"/>
  <bookViews>
    <workbookView xWindow="28680" yWindow="-120" windowWidth="29040" windowHeight="15840" xr2:uid="{81633D21-8A92-4F58-B42F-F934CAC72B74}"/>
  </bookViews>
  <sheets>
    <sheet name="Aroma" sheetId="1" r:id="rId1"/>
    <sheet name="Summerred" sheetId="2" r:id="rId2"/>
    <sheet name="Ark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4" i="1" l="1"/>
  <c r="C63" i="1"/>
  <c r="U28" i="1" l="1"/>
  <c r="T28" i="1"/>
  <c r="V19" i="1"/>
  <c r="V20" i="1"/>
  <c r="V22" i="1"/>
  <c r="V23" i="1"/>
  <c r="V24" i="1"/>
  <c r="V25" i="1"/>
  <c r="V26" i="1"/>
  <c r="V18" i="1"/>
  <c r="U27" i="1"/>
  <c r="T27" i="1"/>
  <c r="V27" i="1" s="1"/>
  <c r="V28" i="1" l="1"/>
  <c r="R28" i="1" l="1"/>
  <c r="N32" i="1" s="1"/>
  <c r="R27" i="1"/>
  <c r="Z28" i="1"/>
  <c r="Y28" i="1"/>
  <c r="X28" i="1"/>
  <c r="W28" i="1"/>
  <c r="S28" i="1"/>
  <c r="Z27" i="1"/>
  <c r="Y27" i="1"/>
  <c r="X27" i="1"/>
  <c r="W27" i="1"/>
  <c r="S27" i="1"/>
  <c r="D31" i="1" l="1"/>
  <c r="E31" i="1"/>
  <c r="F31" i="1"/>
  <c r="G31" i="1"/>
  <c r="H31" i="1"/>
  <c r="I31" i="1"/>
  <c r="J31" i="1"/>
  <c r="K31" i="1"/>
  <c r="L31" i="1"/>
  <c r="M31" i="1"/>
  <c r="N31" i="1"/>
  <c r="C31" i="1"/>
  <c r="B31" i="1"/>
  <c r="O31" i="1" l="1"/>
  <c r="P31" i="1"/>
  <c r="Q31" i="1"/>
  <c r="C28" i="1"/>
  <c r="C32" i="1" s="1"/>
  <c r="D28" i="1"/>
  <c r="D32" i="1" s="1"/>
  <c r="E28" i="1"/>
  <c r="E32" i="1" s="1"/>
  <c r="F28" i="1"/>
  <c r="F32" i="1" s="1"/>
  <c r="G28" i="1"/>
  <c r="G32" i="1" s="1"/>
  <c r="H28" i="1"/>
  <c r="H32" i="1" s="1"/>
  <c r="I28" i="1"/>
  <c r="I32" i="1" s="1"/>
  <c r="J28" i="1"/>
  <c r="J32" i="1" s="1"/>
  <c r="K28" i="1"/>
  <c r="K32" i="1" s="1"/>
  <c r="L28" i="1"/>
  <c r="L32" i="1" s="1"/>
  <c r="M28" i="1"/>
  <c r="M32" i="1" s="1"/>
  <c r="N28" i="1"/>
  <c r="O28" i="1"/>
  <c r="O32" i="1" s="1"/>
  <c r="P28" i="1"/>
  <c r="P32" i="1" s="1"/>
  <c r="Q28" i="1"/>
  <c r="Q32" i="1" s="1"/>
  <c r="B28" i="1"/>
  <c r="B32" i="1" s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7" i="1"/>
</calcChain>
</file>

<file path=xl/sharedStrings.xml><?xml version="1.0" encoding="utf-8"?>
<sst xmlns="http://schemas.openxmlformats.org/spreadsheetml/2006/main" count="58" uniqueCount="34">
  <si>
    <t>Prosjekt:</t>
  </si>
  <si>
    <t>Avlingsprognoser i fruktproduksjonen- utvikling av det digitale treet 2021-2022</t>
  </si>
  <si>
    <t>Måling av fruktdiameter (mm)</t>
  </si>
  <si>
    <t>Sort:</t>
  </si>
  <si>
    <t>Feltvert:</t>
  </si>
  <si>
    <t>År:</t>
  </si>
  <si>
    <t>Dato/</t>
  </si>
  <si>
    <t>Sum</t>
  </si>
  <si>
    <t>Gjennomsnitt</t>
  </si>
  <si>
    <t>Startdato blomstring (ballong; 1. blomst åpen, BBCH 60):</t>
  </si>
  <si>
    <t>Dato full blomstring (50% åpne blomstrar, BBCH 65):</t>
  </si>
  <si>
    <t>Dato avslutta blomstring (80% kronbladfall, BBCH 68):</t>
  </si>
  <si>
    <t>Måling av diameter kvar veke frå kart er 10 mm i diameter og heilt fram til hausting.</t>
  </si>
  <si>
    <t>Dato</t>
  </si>
  <si>
    <t>Diameter (mm)</t>
  </si>
  <si>
    <t>Raud Aroma</t>
  </si>
  <si>
    <t>Erik Aarnes</t>
  </si>
  <si>
    <t>Summerred</t>
  </si>
  <si>
    <t>08.juki</t>
  </si>
  <si>
    <t>eplet råttna</t>
  </si>
  <si>
    <t>Avlings- og kvalitetskomponentar ved hausting.</t>
  </si>
  <si>
    <t>g/frukt</t>
  </si>
  <si>
    <t>Fastleik (kg/cm2)</t>
  </si>
  <si>
    <t>Rf. (%)</t>
  </si>
  <si>
    <t>Stive (1-10)</t>
  </si>
  <si>
    <t>Dekkfarge (0-10)</t>
  </si>
  <si>
    <t>Grunnfarge (1-9)</t>
  </si>
  <si>
    <t>Solside</t>
  </si>
  <si>
    <t>Skyggeside</t>
  </si>
  <si>
    <t>(hausta 14.09, analysert 15.09.2021)</t>
  </si>
  <si>
    <t>mm/frukt</t>
  </si>
  <si>
    <t>-</t>
  </si>
  <si>
    <t>fruit number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</si>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</sst>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16" fontId="0" fillId="0" borderId="0" xfId="0" applyNumberFormat="1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Utvikling av fruktdiamter (mm). 'Raud Aroma' 2021. Feltvert: Erik Aarnes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Aroma!$A$32</c:f>
              <c:strCache>
                <c:ptCount val="1"/>
                <c:pt idx="0">
                  <c:v>Diameter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Aroma!$B$31:$N$31</c:f>
              <c:numCache>
                <c:formatCode>d\-mmm</c:formatCode>
                <c:ptCount val="13"/>
                <c:pt idx="0">
                  <c:v>44371</c:v>
                </c:pt>
                <c:pt idx="1">
                  <c:v>44378</c:v>
                </c:pt>
                <c:pt idx="2">
                  <c:v>44385</c:v>
                </c:pt>
                <c:pt idx="3">
                  <c:v>44392</c:v>
                </c:pt>
                <c:pt idx="4">
                  <c:v>44399</c:v>
                </c:pt>
                <c:pt idx="5">
                  <c:v>44406</c:v>
                </c:pt>
                <c:pt idx="6">
                  <c:v>44413</c:v>
                </c:pt>
                <c:pt idx="7">
                  <c:v>44420</c:v>
                </c:pt>
                <c:pt idx="8">
                  <c:v>44427</c:v>
                </c:pt>
                <c:pt idx="9">
                  <c:v>44434</c:v>
                </c:pt>
                <c:pt idx="10">
                  <c:v>44441</c:v>
                </c:pt>
                <c:pt idx="11">
                  <c:v>44448</c:v>
                </c:pt>
                <c:pt idx="12">
                  <c:v>44453</c:v>
                </c:pt>
              </c:numCache>
            </c:numRef>
          </c:cat>
          <c:val>
            <c:numRef>
              <c:f>Aroma!$B$32:$N$32</c:f>
              <c:numCache>
                <c:formatCode>0.0</c:formatCode>
                <c:ptCount val="13"/>
                <c:pt idx="0">
                  <c:v>20.720000000000002</c:v>
                </c:pt>
                <c:pt idx="1">
                  <c:v>28.238999999999997</c:v>
                </c:pt>
                <c:pt idx="2">
                  <c:v>36.837000000000003</c:v>
                </c:pt>
                <c:pt idx="3">
                  <c:v>43.650999999999996</c:v>
                </c:pt>
                <c:pt idx="4">
                  <c:v>48.420999999999999</c:v>
                </c:pt>
                <c:pt idx="5">
                  <c:v>53.94</c:v>
                </c:pt>
                <c:pt idx="6">
                  <c:v>57.628999999999998</c:v>
                </c:pt>
                <c:pt idx="7">
                  <c:v>62.309999999999988</c:v>
                </c:pt>
                <c:pt idx="8">
                  <c:v>65.457777777777792</c:v>
                </c:pt>
                <c:pt idx="9">
                  <c:v>68.51111111111112</c:v>
                </c:pt>
                <c:pt idx="10">
                  <c:v>71.241111111111124</c:v>
                </c:pt>
                <c:pt idx="11">
                  <c:v>72.527499999999989</c:v>
                </c:pt>
                <c:pt idx="12">
                  <c:v>77.83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7-4D10-83C6-B31CC31B8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22064"/>
        <c:axId val="619020752"/>
      </c:lineChart>
      <c:dateAx>
        <c:axId val="6190220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0752"/>
        <c:crosses val="autoZero"/>
        <c:auto val="1"/>
        <c:lblOffset val="100"/>
        <c:baseTimeUnit val="days"/>
      </c:dateAx>
      <c:valAx>
        <c:axId val="6190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2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33</xdr:row>
      <xdr:rowOff>68580</xdr:rowOff>
    </xdr:from>
    <xdr:to>
      <xdr:col>9</xdr:col>
      <xdr:colOff>647700</xdr:colOff>
      <xdr:row>48</xdr:row>
      <xdr:rowOff>68580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39B1E39-7228-4A50-9D86-ABF8911B8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731520</xdr:colOff>
      <xdr:row>33</xdr:row>
      <xdr:rowOff>121920</xdr:rowOff>
    </xdr:from>
    <xdr:to>
      <xdr:col>14</xdr:col>
      <xdr:colOff>438670</xdr:colOff>
      <xdr:row>46</xdr:row>
      <xdr:rowOff>169372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82511710-14B1-4E0E-82A1-E5EA1962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200" y="6903720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14</xdr:col>
      <xdr:colOff>434340</xdr:colOff>
      <xdr:row>33</xdr:row>
      <xdr:rowOff>121920</xdr:rowOff>
    </xdr:from>
    <xdr:to>
      <xdr:col>19</xdr:col>
      <xdr:colOff>131965</xdr:colOff>
      <xdr:row>46</xdr:row>
      <xdr:rowOff>169372</xdr:rowOff>
    </xdr:to>
    <xdr:pic>
      <xdr:nvPicPr>
        <xdr:cNvPr id="4" name="Bilde 3">
          <a:extLst>
            <a:ext uri="{FF2B5EF4-FFF2-40B4-BE49-F238E27FC236}">
              <a16:creationId xmlns:a16="http://schemas.microsoft.com/office/drawing/2014/main" id="{525416FB-36B0-4053-B551-A499A847A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2420" y="6903720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19</xdr:col>
      <xdr:colOff>137160</xdr:colOff>
      <xdr:row>33</xdr:row>
      <xdr:rowOff>114300</xdr:rowOff>
    </xdr:from>
    <xdr:to>
      <xdr:col>23</xdr:col>
      <xdr:colOff>627265</xdr:colOff>
      <xdr:row>46</xdr:row>
      <xdr:rowOff>169372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63196E45-49A8-415C-9BC3-9B7BEADC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7640" y="6896100"/>
          <a:ext cx="3656215" cy="2428702"/>
        </a:xfrm>
        <a:prstGeom prst="rect">
          <a:avLst/>
        </a:prstGeom>
      </xdr:spPr>
    </xdr:pic>
    <xdr:clientData/>
  </xdr:twoCellAnchor>
  <xdr:twoCellAnchor editAs="oneCell">
    <xdr:from>
      <xdr:col>23</xdr:col>
      <xdr:colOff>617220</xdr:colOff>
      <xdr:row>33</xdr:row>
      <xdr:rowOff>106680</xdr:rowOff>
    </xdr:from>
    <xdr:to>
      <xdr:col>28</xdr:col>
      <xdr:colOff>324370</xdr:colOff>
      <xdr:row>46</xdr:row>
      <xdr:rowOff>169372</xdr:rowOff>
    </xdr:to>
    <xdr:pic>
      <xdr:nvPicPr>
        <xdr:cNvPr id="6" name="Bilde 5">
          <a:extLst>
            <a:ext uri="{FF2B5EF4-FFF2-40B4-BE49-F238E27FC236}">
              <a16:creationId xmlns:a16="http://schemas.microsoft.com/office/drawing/2014/main" id="{84F4E126-71F9-4E87-8B9C-C58488156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7620" y="6888480"/>
          <a:ext cx="3656215" cy="2428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7C733-71AC-4D94-9767-7F8A9E408DE1}">
  <sheetPr>
    <pageSetUpPr fitToPage="1"/>
  </sheetPr>
  <dimension ref="A1:Z64"/>
  <sheetViews>
    <sheetView tabSelected="1" topLeftCell="A49" zoomScale="85" zoomScaleNormal="85" workbookViewId="0">
      <selection activeCell="C49" sqref="C49"/>
    </sheetView>
  </sheetViews>
  <sheetFormatPr defaultColWidth="11.5546875" defaultRowHeight="14.4" x14ac:dyDescent="0.3"/>
  <cols>
    <col min="1" max="1" width="14.6640625" customWidth="1"/>
  </cols>
  <sheetData>
    <row r="1" spans="1:26" ht="25.8" x14ac:dyDescent="0.5">
      <c r="A1" s="1" t="s">
        <v>0</v>
      </c>
      <c r="B1" s="1" t="s">
        <v>1</v>
      </c>
      <c r="C1" s="1"/>
      <c r="D1" s="1"/>
      <c r="E1" s="1"/>
      <c r="F1" s="1"/>
      <c r="G1" s="1"/>
    </row>
    <row r="3" spans="1:26" ht="15" thickBot="1" x14ac:dyDescent="0.35"/>
    <row r="4" spans="1:26" ht="21.6" thickBot="1" x14ac:dyDescent="0.45">
      <c r="A4" s="5" t="s">
        <v>2</v>
      </c>
      <c r="B4" s="6"/>
      <c r="C4" s="7"/>
    </row>
    <row r="5" spans="1:26" ht="18" x14ac:dyDescent="0.35">
      <c r="A5" s="3" t="s">
        <v>3</v>
      </c>
      <c r="B5" s="2" t="s">
        <v>15</v>
      </c>
      <c r="C5" s="2"/>
    </row>
    <row r="6" spans="1:26" ht="18" x14ac:dyDescent="0.35">
      <c r="A6" s="3" t="s">
        <v>4</v>
      </c>
      <c r="B6" s="2" t="s">
        <v>16</v>
      </c>
      <c r="C6" s="2"/>
    </row>
    <row r="7" spans="1:26" ht="18" x14ac:dyDescent="0.35">
      <c r="A7" s="3" t="s">
        <v>5</v>
      </c>
      <c r="B7" s="2">
        <v>2021</v>
      </c>
      <c r="C7" s="2"/>
    </row>
    <row r="9" spans="1:26" ht="18" x14ac:dyDescent="0.35">
      <c r="A9" s="3" t="s">
        <v>9</v>
      </c>
      <c r="B9" s="3"/>
      <c r="C9" s="3"/>
      <c r="D9" s="3"/>
      <c r="E9" s="4"/>
    </row>
    <row r="10" spans="1:26" ht="18" x14ac:dyDescent="0.35">
      <c r="A10" s="3" t="s">
        <v>10</v>
      </c>
      <c r="B10" s="3"/>
      <c r="C10" s="3"/>
      <c r="D10" s="3"/>
      <c r="E10" s="4"/>
    </row>
    <row r="11" spans="1:26" ht="18" x14ac:dyDescent="0.35">
      <c r="A11" s="3" t="s">
        <v>11</v>
      </c>
      <c r="B11" s="3"/>
      <c r="C11" s="3"/>
      <c r="D11" s="3"/>
      <c r="E11" s="4"/>
    </row>
    <row r="13" spans="1:26" ht="18" x14ac:dyDescent="0.35">
      <c r="A13" s="2" t="s">
        <v>12</v>
      </c>
    </row>
    <row r="14" spans="1:26" x14ac:dyDescent="0.3">
      <c r="T14" t="s">
        <v>20</v>
      </c>
    </row>
    <row r="15" spans="1:26" x14ac:dyDescent="0.3">
      <c r="A15" t="s">
        <v>6</v>
      </c>
      <c r="B15" s="8">
        <v>44371</v>
      </c>
      <c r="C15" s="8">
        <v>44378</v>
      </c>
      <c r="D15" s="8">
        <v>44385</v>
      </c>
      <c r="E15" s="8">
        <v>44392</v>
      </c>
      <c r="F15" s="8">
        <v>44399</v>
      </c>
      <c r="G15" s="8">
        <v>44406</v>
      </c>
      <c r="H15" s="8">
        <v>44413</v>
      </c>
      <c r="I15" s="8">
        <v>44420</v>
      </c>
      <c r="J15" s="8">
        <v>44427</v>
      </c>
      <c r="K15" s="8">
        <v>44434</v>
      </c>
      <c r="L15" s="8">
        <v>44441</v>
      </c>
      <c r="M15" s="8">
        <v>44448</v>
      </c>
      <c r="N15" s="9">
        <v>44453</v>
      </c>
      <c r="T15" t="s">
        <v>29</v>
      </c>
    </row>
    <row r="16" spans="1:26" ht="28.8" x14ac:dyDescent="0.3">
      <c r="A16" t="s">
        <v>32</v>
      </c>
      <c r="R16" t="s">
        <v>30</v>
      </c>
      <c r="S16" s="11" t="s">
        <v>21</v>
      </c>
      <c r="T16" s="11" t="s">
        <v>22</v>
      </c>
      <c r="U16" s="11" t="s">
        <v>22</v>
      </c>
      <c r="V16" s="11" t="s">
        <v>22</v>
      </c>
      <c r="W16" s="11" t="s">
        <v>23</v>
      </c>
      <c r="X16" s="11" t="s">
        <v>24</v>
      </c>
      <c r="Y16" s="11" t="s">
        <v>25</v>
      </c>
      <c r="Z16" s="11" t="s">
        <v>26</v>
      </c>
    </row>
    <row r="17" spans="1:26" x14ac:dyDescent="0.3">
      <c r="A17">
        <v>1</v>
      </c>
      <c r="B17">
        <v>21.27</v>
      </c>
      <c r="C17">
        <v>30</v>
      </c>
      <c r="D17">
        <v>39.86</v>
      </c>
      <c r="E17">
        <v>46.89</v>
      </c>
      <c r="F17">
        <v>50.72</v>
      </c>
      <c r="G17">
        <v>58</v>
      </c>
      <c r="H17">
        <v>61.66</v>
      </c>
      <c r="I17">
        <v>66.349999999999994</v>
      </c>
      <c r="J17">
        <v>70.3</v>
      </c>
      <c r="K17">
        <v>75.040000000000006</v>
      </c>
      <c r="L17">
        <v>76.66</v>
      </c>
      <c r="M17" t="s">
        <v>19</v>
      </c>
      <c r="R17" t="s">
        <v>31</v>
      </c>
      <c r="S17" s="12" t="s">
        <v>31</v>
      </c>
      <c r="T17" s="12" t="s">
        <v>31</v>
      </c>
      <c r="U17" s="12" t="s">
        <v>31</v>
      </c>
      <c r="V17" s="12" t="s">
        <v>31</v>
      </c>
      <c r="W17" t="s">
        <v>31</v>
      </c>
      <c r="X17" t="s">
        <v>31</v>
      </c>
      <c r="Y17" t="s">
        <v>31</v>
      </c>
      <c r="Z17" t="s">
        <v>31</v>
      </c>
    </row>
    <row r="18" spans="1:26" x14ac:dyDescent="0.3">
      <c r="A18">
        <v>2</v>
      </c>
      <c r="B18">
        <v>19.52</v>
      </c>
      <c r="C18">
        <v>26.81</v>
      </c>
      <c r="D18">
        <v>36.79</v>
      </c>
      <c r="E18">
        <v>44.18</v>
      </c>
      <c r="F18">
        <v>49.37</v>
      </c>
      <c r="G18">
        <v>55</v>
      </c>
      <c r="H18">
        <v>60.48</v>
      </c>
      <c r="I18">
        <v>65.099999999999994</v>
      </c>
      <c r="J18">
        <v>69.87</v>
      </c>
      <c r="K18">
        <v>73.040000000000006</v>
      </c>
      <c r="L18">
        <v>77.3</v>
      </c>
      <c r="M18">
        <v>78.16</v>
      </c>
      <c r="R18">
        <v>80.47</v>
      </c>
      <c r="S18" s="12">
        <v>190</v>
      </c>
      <c r="T18" s="12">
        <v>6.5380000000000003</v>
      </c>
      <c r="U18">
        <v>7.3449999999999998</v>
      </c>
      <c r="V18">
        <f>AVERAGE(T18:U18)</f>
        <v>6.9414999999999996</v>
      </c>
      <c r="W18">
        <v>14</v>
      </c>
      <c r="X18">
        <v>3</v>
      </c>
      <c r="Y18">
        <v>8</v>
      </c>
      <c r="Z18">
        <v>6</v>
      </c>
    </row>
    <row r="19" spans="1:26" x14ac:dyDescent="0.3">
      <c r="A19">
        <v>3</v>
      </c>
      <c r="B19">
        <v>23.79</v>
      </c>
      <c r="C19">
        <v>30.83</v>
      </c>
      <c r="D19">
        <v>39.57</v>
      </c>
      <c r="E19">
        <v>46.2</v>
      </c>
      <c r="F19">
        <v>49.73</v>
      </c>
      <c r="G19">
        <v>54</v>
      </c>
      <c r="H19">
        <v>54.68</v>
      </c>
      <c r="I19">
        <v>56.81</v>
      </c>
      <c r="J19">
        <v>58.25</v>
      </c>
      <c r="K19">
        <v>59.56</v>
      </c>
      <c r="L19">
        <v>61.88</v>
      </c>
      <c r="M19">
        <v>63.59</v>
      </c>
      <c r="R19">
        <v>76.73</v>
      </c>
      <c r="S19" s="12">
        <v>157</v>
      </c>
      <c r="T19" s="12">
        <v>8.9190000000000005</v>
      </c>
      <c r="U19">
        <v>6.8239999999999998</v>
      </c>
      <c r="V19">
        <f t="shared" ref="V19:V26" si="0">AVERAGE(T19:U19)</f>
        <v>7.8715000000000002</v>
      </c>
      <c r="W19">
        <v>14</v>
      </c>
      <c r="X19">
        <v>7.5</v>
      </c>
      <c r="Y19">
        <v>7.5</v>
      </c>
      <c r="Z19">
        <v>7</v>
      </c>
    </row>
    <row r="20" spans="1:26" x14ac:dyDescent="0.3">
      <c r="A20">
        <v>4</v>
      </c>
      <c r="B20">
        <v>21.37</v>
      </c>
      <c r="C20">
        <v>28.28</v>
      </c>
      <c r="D20">
        <v>36.270000000000003</v>
      </c>
      <c r="E20">
        <v>42.22</v>
      </c>
      <c r="F20">
        <v>45.23</v>
      </c>
      <c r="G20">
        <v>48.5</v>
      </c>
      <c r="H20">
        <v>53.28</v>
      </c>
      <c r="I20">
        <v>54.21</v>
      </c>
      <c r="J20">
        <v>57.85</v>
      </c>
      <c r="K20">
        <v>61.3</v>
      </c>
      <c r="L20">
        <v>64.900000000000006</v>
      </c>
      <c r="M20">
        <v>68.38</v>
      </c>
      <c r="R20">
        <v>79.959999999999994</v>
      </c>
      <c r="S20" s="12">
        <v>171</v>
      </c>
      <c r="T20" s="12">
        <v>6.3390000000000004</v>
      </c>
      <c r="U20">
        <v>6.843</v>
      </c>
      <c r="V20">
        <f t="shared" si="0"/>
        <v>6.5910000000000002</v>
      </c>
      <c r="W20">
        <v>14</v>
      </c>
      <c r="X20">
        <v>3</v>
      </c>
      <c r="Y20">
        <v>8.5</v>
      </c>
      <c r="Z20">
        <v>6.5</v>
      </c>
    </row>
    <row r="21" spans="1:26" x14ac:dyDescent="0.3">
      <c r="A21">
        <v>5</v>
      </c>
      <c r="B21">
        <v>19.600000000000001</v>
      </c>
      <c r="C21">
        <v>25.7</v>
      </c>
      <c r="D21">
        <v>33.409999999999997</v>
      </c>
      <c r="E21">
        <v>39.79</v>
      </c>
      <c r="F21">
        <v>46.08</v>
      </c>
      <c r="G21">
        <v>52.8</v>
      </c>
      <c r="H21">
        <v>56.55</v>
      </c>
      <c r="I21">
        <v>63.09</v>
      </c>
      <c r="R21" t="s">
        <v>31</v>
      </c>
      <c r="S21" s="12" t="s">
        <v>31</v>
      </c>
      <c r="T21" s="12" t="s">
        <v>31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  <c r="Z21" t="s">
        <v>31</v>
      </c>
    </row>
    <row r="22" spans="1:26" x14ac:dyDescent="0.3">
      <c r="A22">
        <v>6</v>
      </c>
      <c r="B22">
        <v>21.55</v>
      </c>
      <c r="C22">
        <v>29.59</v>
      </c>
      <c r="D22">
        <v>38.9</v>
      </c>
      <c r="E22">
        <v>45.1</v>
      </c>
      <c r="F22">
        <v>48.68</v>
      </c>
      <c r="G22">
        <v>53.5</v>
      </c>
      <c r="H22">
        <v>57.66</v>
      </c>
      <c r="I22">
        <v>63.83</v>
      </c>
      <c r="J22">
        <v>67.37</v>
      </c>
      <c r="K22">
        <v>69.069999999999993</v>
      </c>
      <c r="L22">
        <v>72.87</v>
      </c>
      <c r="M22">
        <v>75.930000000000007</v>
      </c>
      <c r="R22">
        <v>77.63</v>
      </c>
      <c r="S22" s="12">
        <v>170</v>
      </c>
      <c r="T22" s="12">
        <v>6.5019999999999998</v>
      </c>
      <c r="U22">
        <v>6.3579999999999997</v>
      </c>
      <c r="V22">
        <f t="shared" si="0"/>
        <v>6.43</v>
      </c>
      <c r="W22">
        <v>14</v>
      </c>
      <c r="X22">
        <v>3.5</v>
      </c>
      <c r="Y22">
        <v>5</v>
      </c>
      <c r="Z22">
        <v>6</v>
      </c>
    </row>
    <row r="23" spans="1:26" x14ac:dyDescent="0.3">
      <c r="A23">
        <v>7</v>
      </c>
      <c r="B23">
        <v>15.83</v>
      </c>
      <c r="C23">
        <v>23.17</v>
      </c>
      <c r="D23">
        <v>29.81</v>
      </c>
      <c r="E23">
        <v>36.14</v>
      </c>
      <c r="F23">
        <v>42.88</v>
      </c>
      <c r="G23">
        <v>49</v>
      </c>
      <c r="H23">
        <v>51.7</v>
      </c>
      <c r="I23">
        <v>58.95</v>
      </c>
      <c r="J23">
        <v>62.94</v>
      </c>
      <c r="K23">
        <v>65.92</v>
      </c>
      <c r="L23">
        <v>66.3</v>
      </c>
      <c r="M23">
        <v>66.86</v>
      </c>
      <c r="R23">
        <v>71.2</v>
      </c>
      <c r="S23" s="12">
        <v>136</v>
      </c>
      <c r="T23" s="12">
        <v>7.4260000000000002</v>
      </c>
      <c r="U23">
        <v>6.899</v>
      </c>
      <c r="V23">
        <f t="shared" si="0"/>
        <v>7.1624999999999996</v>
      </c>
      <c r="W23">
        <v>14</v>
      </c>
      <c r="X23">
        <v>4.5</v>
      </c>
      <c r="Y23">
        <v>7</v>
      </c>
      <c r="Z23">
        <v>5.5</v>
      </c>
    </row>
    <row r="24" spans="1:26" x14ac:dyDescent="0.3">
      <c r="A24">
        <v>8</v>
      </c>
      <c r="B24">
        <v>21.12</v>
      </c>
      <c r="C24">
        <v>29.12</v>
      </c>
      <c r="D24">
        <v>39.5</v>
      </c>
      <c r="E24">
        <v>46.05</v>
      </c>
      <c r="F24">
        <v>52.44</v>
      </c>
      <c r="G24">
        <v>58.8</v>
      </c>
      <c r="H24">
        <v>61.46</v>
      </c>
      <c r="I24">
        <v>66.75</v>
      </c>
      <c r="J24">
        <v>68.3</v>
      </c>
      <c r="K24">
        <v>70.64</v>
      </c>
      <c r="L24">
        <v>73.41</v>
      </c>
      <c r="M24">
        <v>74.84</v>
      </c>
      <c r="R24">
        <v>80.78</v>
      </c>
      <c r="S24" s="12">
        <v>184</v>
      </c>
      <c r="T24" s="12">
        <v>9.5969999999999995</v>
      </c>
      <c r="U24">
        <v>6.6139999999999999</v>
      </c>
      <c r="V24">
        <f t="shared" si="0"/>
        <v>8.1054999999999993</v>
      </c>
      <c r="W24">
        <v>14</v>
      </c>
      <c r="X24">
        <v>6</v>
      </c>
      <c r="Y24">
        <v>7.5</v>
      </c>
      <c r="Z24">
        <v>7</v>
      </c>
    </row>
    <row r="25" spans="1:26" x14ac:dyDescent="0.3">
      <c r="A25">
        <v>9</v>
      </c>
      <c r="B25">
        <v>19.43</v>
      </c>
      <c r="C25">
        <v>26.87</v>
      </c>
      <c r="D25">
        <v>33.44</v>
      </c>
      <c r="E25">
        <v>41.64</v>
      </c>
      <c r="F25">
        <v>45.25</v>
      </c>
      <c r="G25">
        <v>51.2</v>
      </c>
      <c r="H25">
        <v>54.97</v>
      </c>
      <c r="I25">
        <v>59.24</v>
      </c>
      <c r="J25">
        <v>63.54</v>
      </c>
      <c r="K25">
        <v>67.66</v>
      </c>
      <c r="L25">
        <v>70.22</v>
      </c>
      <c r="M25">
        <v>72.66</v>
      </c>
      <c r="R25">
        <v>74.17</v>
      </c>
      <c r="S25" s="12">
        <v>164</v>
      </c>
      <c r="T25" s="12">
        <v>6.4729999999999999</v>
      </c>
      <c r="U25">
        <v>7.0510000000000002</v>
      </c>
      <c r="V25">
        <f t="shared" si="0"/>
        <v>6.7620000000000005</v>
      </c>
      <c r="W25">
        <v>14</v>
      </c>
      <c r="X25">
        <v>8.5</v>
      </c>
      <c r="Y25">
        <v>9.9</v>
      </c>
      <c r="Z25">
        <v>9</v>
      </c>
    </row>
    <row r="26" spans="1:26" x14ac:dyDescent="0.3">
      <c r="A26">
        <v>10</v>
      </c>
      <c r="B26">
        <v>23.72</v>
      </c>
      <c r="C26">
        <v>32.020000000000003</v>
      </c>
      <c r="D26">
        <v>40.82</v>
      </c>
      <c r="E26">
        <v>48.3</v>
      </c>
      <c r="F26">
        <v>53.83</v>
      </c>
      <c r="G26">
        <v>58.6</v>
      </c>
      <c r="H26">
        <v>63.85</v>
      </c>
      <c r="I26">
        <v>68.77</v>
      </c>
      <c r="J26">
        <v>70.7</v>
      </c>
      <c r="K26">
        <v>74.37</v>
      </c>
      <c r="L26">
        <v>77.63</v>
      </c>
      <c r="M26">
        <v>79.8</v>
      </c>
      <c r="R26">
        <v>81.7</v>
      </c>
      <c r="S26" s="12">
        <v>201</v>
      </c>
      <c r="T26" s="12">
        <v>7.9119999999999999</v>
      </c>
      <c r="U26">
        <v>6.8330000000000002</v>
      </c>
      <c r="V26">
        <f t="shared" si="0"/>
        <v>7.3725000000000005</v>
      </c>
      <c r="W26">
        <v>14</v>
      </c>
      <c r="X26">
        <v>7.5</v>
      </c>
      <c r="Y26">
        <v>8</v>
      </c>
      <c r="Z26">
        <v>7.5</v>
      </c>
    </row>
    <row r="27" spans="1:26" x14ac:dyDescent="0.3">
      <c r="A27" t="s">
        <v>7</v>
      </c>
      <c r="B27">
        <f>SUM(B17:B26)</f>
        <v>207.20000000000002</v>
      </c>
      <c r="C27">
        <f t="shared" ref="C27:R27" si="1">SUM(C17:C26)</f>
        <v>282.39</v>
      </c>
      <c r="D27">
        <f t="shared" si="1"/>
        <v>368.37</v>
      </c>
      <c r="E27">
        <f t="shared" si="1"/>
        <v>436.51</v>
      </c>
      <c r="F27">
        <f t="shared" si="1"/>
        <v>484.21</v>
      </c>
      <c r="G27">
        <f t="shared" si="1"/>
        <v>539.4</v>
      </c>
      <c r="H27">
        <f t="shared" si="1"/>
        <v>576.29</v>
      </c>
      <c r="I27">
        <f t="shared" si="1"/>
        <v>623.09999999999991</v>
      </c>
      <c r="J27">
        <f t="shared" si="1"/>
        <v>589.12000000000012</v>
      </c>
      <c r="K27">
        <f t="shared" si="1"/>
        <v>616.6</v>
      </c>
      <c r="L27">
        <f t="shared" si="1"/>
        <v>641.17000000000007</v>
      </c>
      <c r="M27">
        <f t="shared" si="1"/>
        <v>580.21999999999991</v>
      </c>
      <c r="N27">
        <f t="shared" si="1"/>
        <v>0</v>
      </c>
      <c r="O27">
        <f t="shared" si="1"/>
        <v>0</v>
      </c>
      <c r="P27">
        <f t="shared" si="1"/>
        <v>0</v>
      </c>
      <c r="Q27">
        <f t="shared" si="1"/>
        <v>0</v>
      </c>
      <c r="R27">
        <f t="shared" si="1"/>
        <v>622.64</v>
      </c>
      <c r="S27">
        <f>SUM(S17:S26)</f>
        <v>1373</v>
      </c>
      <c r="T27">
        <f>SUM(T17:T26)</f>
        <v>59.705999999999996</v>
      </c>
      <c r="U27">
        <f>SUM(U17:U26)</f>
        <v>54.766999999999996</v>
      </c>
      <c r="V27">
        <f>AVERAGE(T27:U27)</f>
        <v>57.236499999999992</v>
      </c>
      <c r="W27">
        <f>SUM(W17:W26)</f>
        <v>112</v>
      </c>
      <c r="X27">
        <f>SUM(X17:X26)</f>
        <v>43.5</v>
      </c>
      <c r="Y27">
        <f>SUM(Y17:Y26)</f>
        <v>61.4</v>
      </c>
      <c r="Z27">
        <f>SUM(Z17:Z26)</f>
        <v>54.5</v>
      </c>
    </row>
    <row r="28" spans="1:26" x14ac:dyDescent="0.3">
      <c r="A28" t="s">
        <v>33</v>
      </c>
      <c r="B28">
        <f>AVERAGE(B17:B26)</f>
        <v>20.720000000000002</v>
      </c>
      <c r="C28">
        <f t="shared" ref="C28:R28" si="2">AVERAGE(C17:C26)</f>
        <v>28.238999999999997</v>
      </c>
      <c r="D28">
        <f t="shared" si="2"/>
        <v>36.837000000000003</v>
      </c>
      <c r="E28">
        <f t="shared" si="2"/>
        <v>43.650999999999996</v>
      </c>
      <c r="F28">
        <f t="shared" si="2"/>
        <v>48.420999999999999</v>
      </c>
      <c r="G28">
        <f t="shared" si="2"/>
        <v>53.94</v>
      </c>
      <c r="H28">
        <f t="shared" si="2"/>
        <v>57.628999999999998</v>
      </c>
      <c r="I28">
        <f t="shared" si="2"/>
        <v>62.309999999999988</v>
      </c>
      <c r="J28">
        <f t="shared" si="2"/>
        <v>65.457777777777792</v>
      </c>
      <c r="K28">
        <f t="shared" si="2"/>
        <v>68.51111111111112</v>
      </c>
      <c r="L28">
        <f t="shared" si="2"/>
        <v>71.241111111111124</v>
      </c>
      <c r="M28">
        <f t="shared" si="2"/>
        <v>72.527499999999989</v>
      </c>
      <c r="N28" t="e">
        <f t="shared" si="2"/>
        <v>#DIV/0!</v>
      </c>
      <c r="O28" t="e">
        <f t="shared" si="2"/>
        <v>#DIV/0!</v>
      </c>
      <c r="P28" t="e">
        <f t="shared" si="2"/>
        <v>#DIV/0!</v>
      </c>
      <c r="Q28" t="e">
        <f t="shared" si="2"/>
        <v>#DIV/0!</v>
      </c>
      <c r="R28">
        <f t="shared" si="2"/>
        <v>77.83</v>
      </c>
      <c r="S28">
        <f>AVERAGE(S17:S26)</f>
        <v>171.625</v>
      </c>
      <c r="T28" s="13">
        <f>AVERAGE(T17:T26)</f>
        <v>7.4632499999999995</v>
      </c>
      <c r="U28" s="13">
        <f>AVERAGE(U17:U26)</f>
        <v>6.8458749999999995</v>
      </c>
      <c r="V28" s="13">
        <f>AVERAGE(T28:U28)</f>
        <v>7.154562499999999</v>
      </c>
      <c r="W28">
        <f>AVERAGE(W17:W26)</f>
        <v>14</v>
      </c>
      <c r="X28" s="10">
        <f>AVERAGE(X17:X26)</f>
        <v>5.4375</v>
      </c>
      <c r="Y28" s="10">
        <f>AVERAGE(Y17:Y26)</f>
        <v>7.6749999999999998</v>
      </c>
      <c r="Z28" s="10">
        <f>AVERAGE(Z17:Z26)</f>
        <v>6.8125</v>
      </c>
    </row>
    <row r="29" spans="1:26" x14ac:dyDescent="0.3">
      <c r="T29" t="s">
        <v>27</v>
      </c>
      <c r="U29" t="s">
        <v>28</v>
      </c>
      <c r="V29" t="s">
        <v>8</v>
      </c>
    </row>
    <row r="31" spans="1:26" x14ac:dyDescent="0.3">
      <c r="A31" t="s">
        <v>13</v>
      </c>
      <c r="B31" s="8">
        <f>B15</f>
        <v>44371</v>
      </c>
      <c r="C31" s="8">
        <f>C15</f>
        <v>44378</v>
      </c>
      <c r="D31" s="8">
        <f t="shared" ref="D31:N31" si="3">D15</f>
        <v>44385</v>
      </c>
      <c r="E31" s="8">
        <f t="shared" si="3"/>
        <v>44392</v>
      </c>
      <c r="F31" s="8">
        <f t="shared" si="3"/>
        <v>44399</v>
      </c>
      <c r="G31" s="8">
        <f t="shared" si="3"/>
        <v>44406</v>
      </c>
      <c r="H31" s="8">
        <f t="shared" si="3"/>
        <v>44413</v>
      </c>
      <c r="I31" s="8">
        <f t="shared" si="3"/>
        <v>44420</v>
      </c>
      <c r="J31" s="8">
        <f t="shared" si="3"/>
        <v>44427</v>
      </c>
      <c r="K31" s="8">
        <f t="shared" si="3"/>
        <v>44434</v>
      </c>
      <c r="L31" s="8">
        <f t="shared" si="3"/>
        <v>44441</v>
      </c>
      <c r="M31" s="8">
        <f t="shared" si="3"/>
        <v>44448</v>
      </c>
      <c r="N31" s="8">
        <f t="shared" si="3"/>
        <v>44453</v>
      </c>
      <c r="O31">
        <f>O16</f>
        <v>0</v>
      </c>
      <c r="P31">
        <f>P16</f>
        <v>0</v>
      </c>
      <c r="Q31">
        <f>Q16</f>
        <v>0</v>
      </c>
    </row>
    <row r="32" spans="1:26" x14ac:dyDescent="0.3">
      <c r="A32" t="s">
        <v>14</v>
      </c>
      <c r="B32" s="10">
        <f>B28</f>
        <v>20.720000000000002</v>
      </c>
      <c r="C32" s="10">
        <f t="shared" ref="C32:Q32" si="4">C28</f>
        <v>28.238999999999997</v>
      </c>
      <c r="D32" s="10">
        <f t="shared" si="4"/>
        <v>36.837000000000003</v>
      </c>
      <c r="E32" s="10">
        <f t="shared" si="4"/>
        <v>43.650999999999996</v>
      </c>
      <c r="F32" s="10">
        <f t="shared" si="4"/>
        <v>48.420999999999999</v>
      </c>
      <c r="G32" s="10">
        <f t="shared" si="4"/>
        <v>53.94</v>
      </c>
      <c r="H32" s="10">
        <f t="shared" si="4"/>
        <v>57.628999999999998</v>
      </c>
      <c r="I32" s="10">
        <f t="shared" si="4"/>
        <v>62.309999999999988</v>
      </c>
      <c r="J32" s="10">
        <f t="shared" si="4"/>
        <v>65.457777777777792</v>
      </c>
      <c r="K32" s="10">
        <f t="shared" si="4"/>
        <v>68.51111111111112</v>
      </c>
      <c r="L32" s="10">
        <f t="shared" si="4"/>
        <v>71.241111111111124</v>
      </c>
      <c r="M32" s="10">
        <f t="shared" si="4"/>
        <v>72.527499999999989</v>
      </c>
      <c r="N32" s="10">
        <f>R28</f>
        <v>77.83</v>
      </c>
      <c r="O32" t="e">
        <f t="shared" si="4"/>
        <v>#DIV/0!</v>
      </c>
      <c r="P32" t="e">
        <f t="shared" si="4"/>
        <v>#DIV/0!</v>
      </c>
      <c r="Q32" t="e">
        <f t="shared" si="4"/>
        <v>#DIV/0!</v>
      </c>
      <c r="V32" s="12"/>
    </row>
    <row r="33" spans="22:22" x14ac:dyDescent="0.3">
      <c r="V33" s="12"/>
    </row>
    <row r="34" spans="22:22" x14ac:dyDescent="0.3">
      <c r="V34" s="12"/>
    </row>
    <row r="35" spans="22:22" x14ac:dyDescent="0.3">
      <c r="V35" s="12"/>
    </row>
    <row r="36" spans="22:22" x14ac:dyDescent="0.3">
      <c r="V36" s="12"/>
    </row>
    <row r="37" spans="22:22" x14ac:dyDescent="0.3">
      <c r="V37" s="12"/>
    </row>
    <row r="38" spans="22:22" x14ac:dyDescent="0.3">
      <c r="V38" s="12"/>
    </row>
    <row r="39" spans="22:22" x14ac:dyDescent="0.3">
      <c r="V39" s="12"/>
    </row>
    <row r="40" spans="22:22" x14ac:dyDescent="0.3">
      <c r="V40" s="12"/>
    </row>
    <row r="52" spans="2:3" x14ac:dyDescent="0.3">
      <c r="B52" t="s">
        <v>32</v>
      </c>
      <c r="C52" s="11" t="s">
        <v>21</v>
      </c>
    </row>
    <row r="53" spans="2:3" x14ac:dyDescent="0.3">
      <c r="C53" s="12"/>
    </row>
    <row r="54" spans="2:3" x14ac:dyDescent="0.3">
      <c r="B54">
        <v>1</v>
      </c>
      <c r="C54" s="12">
        <v>190</v>
      </c>
    </row>
    <row r="55" spans="2:3" x14ac:dyDescent="0.3">
      <c r="B55">
        <v>2</v>
      </c>
      <c r="C55" s="12">
        <v>157</v>
      </c>
    </row>
    <row r="56" spans="2:3" x14ac:dyDescent="0.3">
      <c r="B56">
        <v>3</v>
      </c>
      <c r="C56" s="12">
        <v>171</v>
      </c>
    </row>
    <row r="57" spans="2:3" x14ac:dyDescent="0.3">
      <c r="B57">
        <v>4</v>
      </c>
      <c r="C57" s="12">
        <v>170</v>
      </c>
    </row>
    <row r="58" spans="2:3" x14ac:dyDescent="0.3">
      <c r="B58">
        <v>5</v>
      </c>
      <c r="C58" s="12">
        <v>136</v>
      </c>
    </row>
    <row r="59" spans="2:3" x14ac:dyDescent="0.3">
      <c r="B59">
        <v>6</v>
      </c>
      <c r="C59" s="12">
        <v>184</v>
      </c>
    </row>
    <row r="60" spans="2:3" x14ac:dyDescent="0.3">
      <c r="B60">
        <v>7</v>
      </c>
      <c r="C60" s="12">
        <v>164</v>
      </c>
    </row>
    <row r="61" spans="2:3" x14ac:dyDescent="0.3">
      <c r="B61">
        <v>8</v>
      </c>
      <c r="C61" s="12">
        <v>201</v>
      </c>
    </row>
    <row r="63" spans="2:3" x14ac:dyDescent="0.3">
      <c r="B63" t="s">
        <v>7</v>
      </c>
      <c r="C63">
        <f>SUM(C53:C61)</f>
        <v>1373</v>
      </c>
    </row>
    <row r="64" spans="2:3" x14ac:dyDescent="0.3">
      <c r="B64" t="s">
        <v>33</v>
      </c>
      <c r="C64">
        <f>AVERAGE(C53:C61)</f>
        <v>171.625</v>
      </c>
    </row>
  </sheetData>
  <pageMargins left="0.70866141732283472" right="0.70866141732283472" top="0.74803149606299213" bottom="0.74803149606299213" header="0.31496062992125984" footer="0.31496062992125984"/>
  <pageSetup paperSize="8" scale="9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3CEC-5711-456C-81B1-4CF89EDFB615}">
  <dimension ref="A1:L6"/>
  <sheetViews>
    <sheetView workbookViewId="0">
      <selection activeCell="L5" sqref="L5"/>
    </sheetView>
  </sheetViews>
  <sheetFormatPr defaultColWidth="11.5546875" defaultRowHeight="14.4" x14ac:dyDescent="0.3"/>
  <sheetData>
    <row r="1" spans="1:12" x14ac:dyDescent="0.3">
      <c r="A1" t="s">
        <v>17</v>
      </c>
    </row>
    <row r="3" spans="1:12" x14ac:dyDescent="0.3">
      <c r="A3" t="s">
        <v>13</v>
      </c>
      <c r="B3" s="8">
        <v>44371</v>
      </c>
      <c r="C3" s="8">
        <v>44378</v>
      </c>
      <c r="D3" t="s">
        <v>18</v>
      </c>
      <c r="E3" s="8">
        <v>44392</v>
      </c>
      <c r="F3" s="8">
        <v>44399</v>
      </c>
      <c r="G3" s="8">
        <v>44406</v>
      </c>
      <c r="H3" s="8">
        <v>44413</v>
      </c>
      <c r="I3" s="8">
        <v>44420</v>
      </c>
      <c r="J3" s="8">
        <v>44427</v>
      </c>
      <c r="K3" s="8">
        <v>44434</v>
      </c>
      <c r="L3" s="8">
        <v>44441</v>
      </c>
    </row>
    <row r="5" spans="1:12" x14ac:dyDescent="0.3">
      <c r="A5">
        <v>1</v>
      </c>
      <c r="B5">
        <v>23.5</v>
      </c>
      <c r="C5">
        <v>28.91</v>
      </c>
      <c r="D5">
        <v>33.799999999999997</v>
      </c>
      <c r="E5">
        <v>37.64</v>
      </c>
      <c r="F5">
        <v>40.200000000000003</v>
      </c>
      <c r="G5">
        <v>45</v>
      </c>
      <c r="H5">
        <v>49.85</v>
      </c>
      <c r="I5">
        <v>51.31</v>
      </c>
      <c r="J5">
        <v>54.49</v>
      </c>
      <c r="K5">
        <v>56.5</v>
      </c>
      <c r="L5">
        <v>63.42</v>
      </c>
    </row>
    <row r="6" spans="1:12" x14ac:dyDescent="0.3">
      <c r="A6">
        <v>2</v>
      </c>
      <c r="B6">
        <v>28.6</v>
      </c>
      <c r="C6">
        <v>34.76</v>
      </c>
      <c r="D6">
        <v>38.799999999999997</v>
      </c>
      <c r="E6">
        <v>43.8</v>
      </c>
      <c r="F6">
        <v>47.93</v>
      </c>
      <c r="G6">
        <v>52.5</v>
      </c>
      <c r="H6">
        <v>56.04</v>
      </c>
      <c r="I6">
        <v>59.76</v>
      </c>
      <c r="J6">
        <v>69</v>
      </c>
      <c r="K6">
        <v>71.2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30F7-3F9C-4888-9665-6F92A8BAEFD6}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Aroma</vt:lpstr>
      <vt:lpstr>Summerred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Husefest Meland</dc:creator>
  <cp:lastModifiedBy>amin mavaddat</cp:lastModifiedBy>
  <cp:lastPrinted>2021-09-15T08:42:05Z</cp:lastPrinted>
  <dcterms:created xsi:type="dcterms:W3CDTF">2021-05-04T06:49:38Z</dcterms:created>
  <dcterms:modified xsi:type="dcterms:W3CDTF">2023-11-26T11:28:44Z</dcterms:modified>
</cp:coreProperties>
</file>